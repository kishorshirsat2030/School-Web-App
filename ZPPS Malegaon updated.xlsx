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760" yWindow="2400" windowWidth="17280" windowHeight="8880" tabRatio="600" firstSheet="0" activeTab="0" autoFilterDateGrouping="1"/>
  </bookViews>
  <sheets>
    <sheet name="1st" sheetId="1" state="visible" r:id="rId1"/>
    <sheet name="2nd" sheetId="2" state="visible" r:id="rId2"/>
  </sheets>
  <externalReferences>
    <externalReference r:id="rId3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parajita"/>
      <family val="1"/>
      <b val="1"/>
      <color theme="1"/>
      <sz val="12"/>
    </font>
    <font>
      <name val="Aparajita"/>
      <family val="1"/>
      <color theme="1"/>
      <sz val="11"/>
    </font>
    <font>
      <name val="Aparajita"/>
      <family val="1"/>
      <b val="1"/>
      <color theme="1"/>
      <sz val="11"/>
    </font>
    <font>
      <name val="Aparajita"/>
      <family val="1"/>
      <b val="1"/>
      <color theme="1"/>
      <sz val="9"/>
    </font>
    <font>
      <name val="Aparajita"/>
      <family val="1"/>
      <b val="1"/>
      <color theme="1"/>
      <sz val="10"/>
    </font>
    <font>
      <name val="Aparajita"/>
      <family val="1"/>
      <color theme="1"/>
      <sz val="9"/>
    </font>
    <font>
      <name val="Aparajita"/>
      <family val="1"/>
      <color theme="1"/>
      <sz val="8"/>
    </font>
    <font>
      <name val="Aparajita"/>
      <family val="1"/>
      <color theme="1"/>
      <sz val="10"/>
    </font>
    <font>
      <name val="Aparajita"/>
      <family val="1"/>
      <color theme="1"/>
      <sz val="5"/>
    </font>
  </fonts>
  <fills count="4">
    <fill>
      <patternFill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</fills>
  <borders count="10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1" fontId="2" fillId="0" borderId="0" applyAlignment="1" pivotButton="0" quotePrefix="0" xfId="0">
      <alignment horizontal="center" vertical="center"/>
    </xf>
    <xf numFmtId="1" fontId="2" fillId="0" borderId="0" pivotButton="0" quotePrefix="0" xfId="0"/>
    <xf numFmtId="0" fontId="2" fillId="0" borderId="0" pivotButton="0" quotePrefix="0" xfId="0"/>
    <xf numFmtId="1" fontId="3" fillId="0" borderId="0" applyAlignment="1" pivotButton="0" quotePrefix="0" xfId="0">
      <alignment horizontal="right" vertical="center"/>
    </xf>
    <xf numFmtId="1" fontId="2" fillId="0" borderId="0" applyAlignment="1" pivotButton="0" quotePrefix="0" xfId="0">
      <alignment vertical="center"/>
    </xf>
    <xf numFmtId="1" fontId="7" fillId="0" borderId="5" applyAlignment="1" pivotButton="0" quotePrefix="0" xfId="0">
      <alignment horizontal="right" vertical="center"/>
    </xf>
    <xf numFmtId="1" fontId="2" fillId="2" borderId="5" applyAlignment="1" pivotButton="0" quotePrefix="0" xfId="0">
      <alignment horizontal="center" vertical="center"/>
    </xf>
    <xf numFmtId="1" fontId="7" fillId="2" borderId="5" applyAlignment="1" pivotButton="0" quotePrefix="0" xfId="0">
      <alignment horizontal="center" vertical="center"/>
    </xf>
    <xf numFmtId="1" fontId="7" fillId="0" borderId="5" applyAlignment="1" pivotButton="0" quotePrefix="0" xfId="0">
      <alignment horizontal="center" vertical="center"/>
    </xf>
    <xf numFmtId="1" fontId="8" fillId="0" borderId="5" applyAlignment="1" pivotButton="0" quotePrefix="0" xfId="0">
      <alignment horizontal="left" vertical="center"/>
    </xf>
    <xf numFmtId="1" fontId="8" fillId="0" borderId="5" applyAlignment="1" pivotButton="0" quotePrefix="0" xfId="0">
      <alignment horizontal="center" vertical="center"/>
    </xf>
    <xf numFmtId="1" fontId="2" fillId="3" borderId="5" applyAlignment="1" pivotButton="0" quotePrefix="0" xfId="0">
      <alignment horizontal="center" vertical="center"/>
    </xf>
    <xf numFmtId="1" fontId="7" fillId="3" borderId="5" applyAlignment="1" pivotButton="0" quotePrefix="0" xfId="0">
      <alignment horizontal="center" vertical="center"/>
    </xf>
    <xf numFmtId="1" fontId="8" fillId="0" borderId="0" pivotButton="0" quotePrefix="0" xfId="0"/>
    <xf numFmtId="1" fontId="9" fillId="0" borderId="0" applyAlignment="1" pivotButton="0" quotePrefix="0" xfId="0">
      <alignment horizontal="left" vertical="top"/>
    </xf>
    <xf numFmtId="1" fontId="2" fillId="0" borderId="0" applyAlignment="1" pivotButton="0" quotePrefix="0" xfId="0">
      <alignment horizontal="left" vertical="center"/>
    </xf>
    <xf numFmtId="1" fontId="3" fillId="0" borderId="0" applyAlignment="1" pivotButton="0" quotePrefix="0" xfId="0">
      <alignment horizontal="center" vertical="center"/>
    </xf>
    <xf numFmtId="0" fontId="2" fillId="0" borderId="0" pivotButton="0" quotePrefix="0" xfId="0"/>
    <xf numFmtId="1" fontId="6" fillId="0" borderId="5" applyAlignment="1" pivotButton="0" quotePrefix="0" xfId="0">
      <alignment horizontal="center" vertical="center" textRotation="90" wrapText="1"/>
    </xf>
    <xf numFmtId="0" fontId="0" fillId="0" borderId="3" pivotButton="0" quotePrefix="0" xfId="0"/>
    <xf numFmtId="0" fontId="0" fillId="0" borderId="4" pivotButton="0" quotePrefix="0" xfId="0"/>
    <xf numFmtId="1" fontId="5" fillId="0" borderId="5" applyAlignment="1" pivotButton="0" quotePrefix="0" xfId="0">
      <alignment horizontal="center" vertical="center" textRotation="90" wrapText="1"/>
    </xf>
    <xf numFmtId="1" fontId="4" fillId="0" borderId="5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1" fontId="3" fillId="0" borderId="0" applyAlignment="1" pivotButton="0" quotePrefix="0" xfId="0">
      <alignment horizontal="right" vertical="center"/>
    </xf>
    <xf numFmtId="1" fontId="3" fillId="0" borderId="7" applyAlignment="1" pivotButton="0" quotePrefix="0" xfId="0">
      <alignment horizontal="left" vertical="center"/>
    </xf>
    <xf numFmtId="0" fontId="0" fillId="0" borderId="7" pivotButton="0" quotePrefix="0" xfId="0"/>
    <xf numFmtId="1" fontId="1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1" fontId="2" fillId="0" borderId="5" applyAlignment="1" pivotButton="0" quotePrefix="0" xfId="0">
      <alignment horizontal="center" vertical="center"/>
    </xf>
    <xf numFmtId="1" fontId="3" fillId="0" borderId="7" applyAlignment="1" pivotButton="0" quotePrefix="0" xfId="0">
      <alignment horizontal="right" vertical="center"/>
    </xf>
    <xf numFmtId="1" fontId="2" fillId="0" borderId="0" applyAlignment="1" pivotButton="0" quotePrefix="0" xfId="0">
      <alignment horizontal="right" vertical="center"/>
    </xf>
    <xf numFmtId="1" fontId="3" fillId="0" borderId="0" applyAlignment="1" pivotButton="0" quotePrefix="0" xfId="0">
      <alignment horizontal="left" vertical="center"/>
    </xf>
    <xf numFmtId="1" fontId="2" fillId="0" borderId="0" applyAlignment="1" pivotButton="0" quotePrefix="0" xfId="0">
      <alignment horizontal="center"/>
    </xf>
    <xf numFmtId="1" fontId="2" fillId="0" borderId="0" applyAlignment="1" pivotButton="0" quotePrefix="0" xfId="0">
      <alignment horizontal="center" vertical="center"/>
    </xf>
    <xf numFmtId="1" fontId="4" fillId="0" borderId="5" applyAlignment="1" pivotButton="0" quotePrefix="0" xfId="0">
      <alignment horizontal="center" vertical="center" textRotation="90" wrapText="1"/>
    </xf>
    <xf numFmtId="1" fontId="5" fillId="0" borderId="5" applyAlignment="1" pivotButton="0" quotePrefix="0" xfId="0">
      <alignment horizontal="center" vertical="center" textRotation="90"/>
    </xf>
    <xf numFmtId="1" fontId="2" fillId="0" borderId="5" applyAlignment="1" pivotButton="0" quotePrefix="0" xfId="0">
      <alignment horizontal="center" vertical="center" textRotation="90"/>
    </xf>
    <xf numFmtId="1" fontId="9" fillId="0" borderId="6" applyAlignment="1" pivotButton="0" quotePrefix="0" xfId="0">
      <alignment horizontal="left" vertical="top"/>
    </xf>
    <xf numFmtId="0" fontId="0" fillId="0" borderId="6" pivotButton="0" quotePrefix="0" xfId="0"/>
    <xf numFmtId="1" fontId="9" fillId="0" borderId="0" applyAlignment="1" pivotButton="0" quotePrefix="0" xfId="0">
      <alignment horizontal="left"/>
    </xf>
    <xf numFmtId="1" fontId="8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HOME"/>
      <sheetName val="MASTER"/>
      <sheetName val="मुख पृष्ठ"/>
      <sheetName val="वर्णनात्मक नोंदी"/>
      <sheetName val="विद्यार्थी माहिती"/>
      <sheetName val="मराठी(1)"/>
      <sheetName val="मराठी(2)"/>
      <sheetName val="हिंदी(1)"/>
      <sheetName val="हिंदी(2)"/>
      <sheetName val="इंग्रजी(1)"/>
      <sheetName val="इंग्रजी(2)"/>
      <sheetName val="गणित(1)"/>
      <sheetName val="गणित(2)"/>
      <sheetName val="सा.विज्ञान(1)"/>
      <sheetName val="सा.विज्ञान(2)"/>
      <sheetName val="सामाजिक.शा.(1)"/>
      <sheetName val="सामाजिक.शा.(2)"/>
      <sheetName val="कला(1)"/>
      <sheetName val="कला(2)"/>
      <sheetName val="कार्यानुभव(1)"/>
      <sheetName val="कार्यानुभव(2)"/>
      <sheetName val="शा.शिक्षण(1)"/>
      <sheetName val="शा.शिक्षण(2)"/>
      <sheetName val="निकालपत्रक(1)"/>
      <sheetName val="निकालपत्रक(2)"/>
      <sheetName val="निकालपत्रक(3)"/>
      <sheetName val="नोंदी "/>
      <sheetName val="अनुक्रमणिका"/>
      <sheetName val="गोषवारा श्रेणी(1)1-2"/>
      <sheetName val="गोषवारा श्रेणी(2)1-2"/>
      <sheetName val="गोषवारा जातनिहाय(1)1-2"/>
      <sheetName val="गोषवारा जातनिहाय(2)1-2"/>
      <sheetName val="गोषवारा जातनिहाय(3)1-2"/>
      <sheetName val="नोंद वही1-2"/>
      <sheetName val="नोंद वही1-2 (2)"/>
      <sheetName val="श्रेणी पत्रक1-2"/>
      <sheetName val="Whatsapp"/>
    </sheetNames>
    <sheetDataSet>
      <sheetData sheetId="0"/>
      <sheetData sheetId="1">
        <row r="6">
          <cell r="B6" t="str">
            <v>1 ली</v>
          </cell>
        </row>
      </sheetData>
      <sheetData sheetId="2"/>
      <sheetData sheetId="3"/>
      <sheetData sheetId="4">
        <row r="10">
          <cell r="A10">
            <v>1</v>
          </cell>
        </row>
        <row r="11">
          <cell r="A11">
            <v>2</v>
          </cell>
          <cell r="V11"/>
        </row>
        <row r="12">
          <cell r="A12">
            <v>3</v>
          </cell>
          <cell r="V12"/>
        </row>
        <row r="13">
          <cell r="A13">
            <v>4</v>
          </cell>
          <cell r="V13"/>
        </row>
        <row r="14">
          <cell r="A14">
            <v>5</v>
          </cell>
          <cell r="V14"/>
        </row>
        <row r="15">
          <cell r="A15">
            <v>6</v>
          </cell>
          <cell r="V15"/>
        </row>
        <row r="16">
          <cell r="A16">
            <v>7</v>
          </cell>
          <cell r="V16"/>
        </row>
        <row r="17">
          <cell r="A17">
            <v>8</v>
          </cell>
          <cell r="V17"/>
        </row>
        <row r="18">
          <cell r="A18">
            <v>9</v>
          </cell>
          <cell r="V18"/>
        </row>
        <row r="19">
          <cell r="A19">
            <v>10</v>
          </cell>
          <cell r="V19"/>
        </row>
        <row r="20">
          <cell r="A20">
            <v>11</v>
          </cell>
          <cell r="V20"/>
        </row>
        <row r="21">
          <cell r="A21">
            <v>12</v>
          </cell>
          <cell r="V21"/>
        </row>
        <row r="22">
          <cell r="A22">
            <v>13</v>
          </cell>
          <cell r="V22"/>
        </row>
        <row r="23">
          <cell r="A23">
            <v>14</v>
          </cell>
          <cell r="V23"/>
        </row>
        <row r="24">
          <cell r="A24">
            <v>15</v>
          </cell>
          <cell r="V24"/>
        </row>
        <row r="25">
          <cell r="A25">
            <v>16</v>
          </cell>
          <cell r="V25"/>
        </row>
        <row r="26">
          <cell r="A26">
            <v>17</v>
          </cell>
          <cell r="V26"/>
        </row>
        <row r="27">
          <cell r="A27">
            <v>18</v>
          </cell>
          <cell r="V27"/>
        </row>
        <row r="28">
          <cell r="A28">
            <v>19</v>
          </cell>
          <cell r="V28"/>
        </row>
        <row r="29">
          <cell r="A29">
            <v>20</v>
          </cell>
          <cell r="V29"/>
        </row>
        <row r="30">
          <cell r="V30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00"/>
  <sheetViews>
    <sheetView tabSelected="1" topLeftCell="A3" zoomScale="40" zoomScaleNormal="57" workbookViewId="0">
      <selection activeCell="X10" sqref="X10"/>
    </sheetView>
  </sheetViews>
  <sheetFormatPr baseColWidth="8" defaultColWidth="14.44140625" defaultRowHeight="16.2"/>
  <cols>
    <col width="6.5546875" customWidth="1" style="18" min="1" max="1"/>
    <col width="40" customWidth="1" style="18" min="2" max="2"/>
    <col width="6" customWidth="1" style="18" min="3" max="5"/>
    <col width="5.33203125" customWidth="1" style="18" min="6" max="7"/>
    <col width="6" customWidth="1" style="18" min="8" max="18"/>
    <col width="9.109375" customWidth="1" style="18" min="19" max="22"/>
    <col width="39.88671875" customWidth="1" style="18" min="23" max="23"/>
    <col width="5" customWidth="1" style="18" min="24" max="39"/>
    <col width="14.44140625" customWidth="1" style="18" min="40" max="40"/>
    <col width="14.44140625" customWidth="1" style="18" min="41" max="16384"/>
  </cols>
  <sheetData>
    <row r="1" ht="27.75" customHeight="1">
      <c r="A1" s="29" t="inlineStr">
        <is>
          <t>जि. प. प्रा. शाळा माळेगांव (च), ता. शिरूर (का), जि. बीड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6" t="n"/>
      <c r="S1" s="2" t="n"/>
      <c r="T1" s="2" t="n"/>
      <c r="U1" s="2" t="n"/>
      <c r="V1" s="29" t="inlineStr">
        <is>
          <t>जि. प. प्रा. शाळा माळेगांव (च), ता. शिरूर (का), जि. बीड</t>
        </is>
      </c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30" t="n"/>
      <c r="AM1" s="36" t="n"/>
    </row>
    <row r="2" ht="27.75" customHeight="1">
      <c r="A2" s="36" t="inlineStr">
        <is>
          <t>सातत्यपूर्ण सर्वंकष मूल्यमापन - प्रथम सत्र</t>
        </is>
      </c>
      <c r="R2" s="36" t="n"/>
      <c r="S2" s="2" t="n"/>
      <c r="T2" s="2" t="n"/>
      <c r="U2" s="2" t="n"/>
      <c r="V2" s="36" t="inlineStr">
        <is>
          <t>सातत्यपूर्ण सर्वंकष मूल्यमापन - व्दितीय सत्र</t>
        </is>
      </c>
      <c r="AM2" s="36" t="n"/>
    </row>
    <row r="3" ht="27.75" customHeight="1">
      <c r="A3" s="26" t="inlineStr">
        <is>
          <t>इ.-</t>
        </is>
      </c>
      <c r="B3" s="5">
        <f>[1]MASTER!B6</f>
        <v/>
      </c>
      <c r="C3" s="35" t="inlineStr">
        <is>
          <t>सन 2026- 27</t>
        </is>
      </c>
      <c r="K3" s="33" t="inlineStr">
        <is>
          <t>विषय- मराठी</t>
        </is>
      </c>
      <c r="R3" s="36" t="n"/>
      <c r="S3" s="2" t="n"/>
      <c r="T3" s="2" t="n"/>
      <c r="U3" s="2" t="n"/>
      <c r="V3" s="26" t="inlineStr">
        <is>
          <t>इ.-</t>
        </is>
      </c>
      <c r="W3" s="5">
        <f>[1]MASTER!B6</f>
        <v/>
      </c>
      <c r="X3" s="35" t="inlineStr">
        <is>
          <t>सन २०२६-२७</t>
        </is>
      </c>
      <c r="AF3" s="33" t="inlineStr">
        <is>
          <t>विषय- मराठी</t>
        </is>
      </c>
      <c r="AM3" s="36" t="n"/>
    </row>
    <row r="4" ht="27.75" customHeight="1">
      <c r="A4" s="34" t="n"/>
      <c r="G4" s="26" t="inlineStr">
        <is>
          <t>वर्ग शिक्षक- घोक्षे सर</t>
        </is>
      </c>
      <c r="R4" s="36" t="n"/>
      <c r="S4" s="2" t="n"/>
      <c r="T4" s="2" t="n"/>
      <c r="U4" s="2" t="n"/>
      <c r="V4" s="27" t="n"/>
      <c r="W4" s="28" t="n"/>
      <c r="X4" s="28" t="n"/>
      <c r="Y4" s="28" t="n"/>
      <c r="Z4" s="28" t="n"/>
      <c r="AA4" s="28" t="n"/>
      <c r="AB4" s="32" t="inlineStr">
        <is>
          <t>वर्ग शिक्षक- घोक्षे सर</t>
        </is>
      </c>
      <c r="AC4" s="28" t="n"/>
      <c r="AD4" s="28" t="n"/>
      <c r="AE4" s="28" t="n"/>
      <c r="AF4" s="28" t="n"/>
      <c r="AG4" s="28" t="n"/>
      <c r="AH4" s="28" t="n"/>
      <c r="AI4" s="28" t="n"/>
      <c r="AJ4" s="28" t="n"/>
      <c r="AK4" s="28" t="n"/>
      <c r="AL4" s="28" t="n"/>
      <c r="AM4" s="36" t="n"/>
    </row>
    <row r="5" ht="27.75" customHeight="1">
      <c r="A5" s="39" t="inlineStr">
        <is>
          <t>हजेरी क्रमांक</t>
        </is>
      </c>
      <c r="B5" s="31" t="inlineStr">
        <is>
          <t>विद्यार्थ्यांचे नाव</t>
        </is>
      </c>
      <c r="C5" s="23" t="inlineStr">
        <is>
          <t>अ (आकारिक मूल्यमापन)</t>
        </is>
      </c>
      <c r="D5" s="24" t="n"/>
      <c r="E5" s="24" t="n"/>
      <c r="F5" s="24" t="n"/>
      <c r="G5" s="24" t="n"/>
      <c r="H5" s="24" t="n"/>
      <c r="I5" s="24" t="n"/>
      <c r="J5" s="25" t="n"/>
      <c r="K5" s="23" t="inlineStr">
        <is>
          <t>ब (संकलित मूल्यमापन)</t>
        </is>
      </c>
      <c r="L5" s="24" t="n"/>
      <c r="M5" s="24" t="n"/>
      <c r="N5" s="25" t="n"/>
      <c r="O5" s="22" t="inlineStr">
        <is>
          <t>अ+ब एकूण गुण</t>
        </is>
      </c>
      <c r="P5" s="22" t="inlineStr">
        <is>
          <t>100त रुपांतर</t>
        </is>
      </c>
      <c r="Q5" s="38" t="inlineStr">
        <is>
          <t>श्रेणी कोड</t>
        </is>
      </c>
      <c r="R5" s="36" t="n"/>
      <c r="S5" s="2" t="n"/>
      <c r="T5" s="2" t="n"/>
      <c r="U5" s="2" t="n"/>
      <c r="V5" s="39" t="inlineStr">
        <is>
          <t>हजेरी क्रमांक</t>
        </is>
      </c>
      <c r="W5" s="31" t="inlineStr">
        <is>
          <t>विद्यार्थ्याचे नाव</t>
        </is>
      </c>
      <c r="X5" s="23" t="inlineStr">
        <is>
          <t>अ (आकारिक मूल्यमापन)</t>
        </is>
      </c>
      <c r="Y5" s="24" t="n"/>
      <c r="Z5" s="24" t="n"/>
      <c r="AA5" s="24" t="n"/>
      <c r="AB5" s="24" t="n"/>
      <c r="AC5" s="24" t="n"/>
      <c r="AD5" s="24" t="n"/>
      <c r="AE5" s="25" t="n"/>
      <c r="AF5" s="23" t="inlineStr">
        <is>
          <t>ब (संकलित मूल्यमापन)</t>
        </is>
      </c>
      <c r="AG5" s="24" t="n"/>
      <c r="AH5" s="24" t="n"/>
      <c r="AI5" s="25" t="n"/>
      <c r="AJ5" s="22" t="inlineStr">
        <is>
          <t>अ+ब एकूण गुण</t>
        </is>
      </c>
      <c r="AK5" s="22" t="inlineStr">
        <is>
          <t>100त रुपांतर</t>
        </is>
      </c>
      <c r="AL5" s="38" t="inlineStr">
        <is>
          <t>श्रेणी कोड</t>
        </is>
      </c>
      <c r="AM5" s="36" t="n"/>
    </row>
    <row r="6" ht="27.6" customHeight="1">
      <c r="A6" s="20" t="n"/>
      <c r="B6" s="20" t="n"/>
      <c r="C6" s="19" t="inlineStr">
        <is>
          <t>तोंडी काम</t>
        </is>
      </c>
      <c r="D6" s="19" t="inlineStr">
        <is>
          <t>प्रात्य./प्रयोग</t>
        </is>
      </c>
      <c r="E6" s="19" t="inlineStr">
        <is>
          <t>उपक्रम/कृती</t>
        </is>
      </c>
      <c r="F6" s="19" t="inlineStr">
        <is>
          <t>प्रकल्प</t>
        </is>
      </c>
      <c r="G6" s="19" t="inlineStr">
        <is>
          <t>चाचणी</t>
        </is>
      </c>
      <c r="H6" s="19" t="inlineStr">
        <is>
          <t>स्वाध्याय</t>
        </is>
      </c>
      <c r="I6" s="19" t="inlineStr">
        <is>
          <t>इतर</t>
        </is>
      </c>
      <c r="J6" s="37" t="inlineStr">
        <is>
          <t>एकूण (अ)</t>
        </is>
      </c>
      <c r="K6" s="19" t="inlineStr">
        <is>
          <t>तोंडी</t>
        </is>
      </c>
      <c r="L6" s="19" t="inlineStr">
        <is>
          <t>प्रात्यक्षिक</t>
        </is>
      </c>
      <c r="M6" s="19" t="inlineStr">
        <is>
          <t>लेखी</t>
        </is>
      </c>
      <c r="N6" s="37" t="inlineStr">
        <is>
          <t>एकूण (ब)</t>
        </is>
      </c>
      <c r="O6" s="20" t="n"/>
      <c r="P6" s="20" t="n"/>
      <c r="Q6" s="20" t="n"/>
      <c r="R6" s="36" t="n"/>
      <c r="S6" s="2" t="n"/>
      <c r="T6" s="2" t="n"/>
      <c r="U6" s="2" t="n"/>
      <c r="V6" s="20" t="n"/>
      <c r="W6" s="20" t="n"/>
      <c r="X6" s="19" t="inlineStr">
        <is>
          <t>तोंडी काम</t>
        </is>
      </c>
      <c r="Y6" s="19" t="inlineStr">
        <is>
          <t>प्रात्य./प्रयोग</t>
        </is>
      </c>
      <c r="Z6" s="19" t="inlineStr">
        <is>
          <t>उपक्रम/कृती</t>
        </is>
      </c>
      <c r="AA6" s="19" t="inlineStr">
        <is>
          <t>प्रकल्प</t>
        </is>
      </c>
      <c r="AB6" s="19" t="inlineStr">
        <is>
          <t>चाचणी</t>
        </is>
      </c>
      <c r="AC6" s="19" t="inlineStr">
        <is>
          <t>स्वाध्याय</t>
        </is>
      </c>
      <c r="AD6" s="19" t="inlineStr">
        <is>
          <t>इतर</t>
        </is>
      </c>
      <c r="AE6" s="37" t="inlineStr">
        <is>
          <t>एकूण (अ)</t>
        </is>
      </c>
      <c r="AF6" s="19" t="inlineStr">
        <is>
          <t>तोंडी</t>
        </is>
      </c>
      <c r="AG6" s="19" t="inlineStr">
        <is>
          <t>प्रात्यक्षिक</t>
        </is>
      </c>
      <c r="AH6" s="19" t="inlineStr">
        <is>
          <t>लेखी</t>
        </is>
      </c>
      <c r="AI6" s="37" t="inlineStr">
        <is>
          <t>एकूण (ब)</t>
        </is>
      </c>
      <c r="AJ6" s="20" t="n"/>
      <c r="AK6" s="20" t="n"/>
      <c r="AL6" s="20" t="n"/>
      <c r="AM6" s="36" t="n"/>
    </row>
    <row r="7" ht="27.75" customHeight="1">
      <c r="A7" s="20" t="n"/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36" t="n"/>
      <c r="S7" s="2" t="n"/>
      <c r="T7" s="2" t="n"/>
      <c r="U7" s="2" t="n"/>
      <c r="V7" s="20" t="n"/>
      <c r="W7" s="20" t="n"/>
      <c r="X7" s="20" t="n"/>
      <c r="Y7" s="20" t="n"/>
      <c r="Z7" s="20" t="n"/>
      <c r="AA7" s="20" t="n"/>
      <c r="AB7" s="20" t="n"/>
      <c r="AC7" s="20" t="n"/>
      <c r="AD7" s="20" t="n"/>
      <c r="AE7" s="20" t="n"/>
      <c r="AF7" s="20" t="n"/>
      <c r="AG7" s="20" t="n"/>
      <c r="AH7" s="20" t="n"/>
      <c r="AI7" s="20" t="n"/>
      <c r="AJ7" s="20" t="n"/>
      <c r="AK7" s="20" t="n"/>
      <c r="AL7" s="20" t="n"/>
      <c r="AM7" s="36" t="n"/>
    </row>
    <row r="8" ht="27.75" customHeight="1">
      <c r="A8" s="20" t="n"/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36" t="n"/>
      <c r="S8" s="2" t="n"/>
      <c r="T8" s="2" t="n"/>
      <c r="U8" s="2" t="n"/>
      <c r="V8" s="20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36" t="n"/>
    </row>
    <row r="9" ht="27.75" customHeight="1">
      <c r="A9" s="21" t="n"/>
      <c r="B9" s="6" t="inlineStr">
        <is>
          <t>तंत्रानिहाय भारांश=</t>
        </is>
      </c>
      <c r="C9" s="7" t="n">
        <v>10</v>
      </c>
      <c r="D9" s="7" t="n">
        <v>10</v>
      </c>
      <c r="E9" s="7" t="n">
        <v>10</v>
      </c>
      <c r="F9" s="7" t="inlineStr">
        <is>
          <t>-</t>
        </is>
      </c>
      <c r="G9" s="7" t="n">
        <v>20</v>
      </c>
      <c r="H9" s="7" t="n">
        <v>10</v>
      </c>
      <c r="I9" s="7" t="inlineStr">
        <is>
          <t>-</t>
        </is>
      </c>
      <c r="J9" s="7" t="n">
        <v>60</v>
      </c>
      <c r="K9" s="7" t="n">
        <v>10</v>
      </c>
      <c r="L9" s="7" t="inlineStr">
        <is>
          <t>-</t>
        </is>
      </c>
      <c r="M9" s="7" t="n">
        <v>30</v>
      </c>
      <c r="N9" s="7" t="n">
        <v>40</v>
      </c>
      <c r="O9" s="7">
        <f>SUM(J9,N9)</f>
        <v/>
      </c>
      <c r="P9" s="7">
        <f>IFERROR(ROUND(((O9)*100)/R9,0),0)</f>
        <v/>
      </c>
      <c r="Q9" s="8">
        <f>IF(P9&gt;=91,"अ-1",IF(P9&gt;=81,"अ-2",IF(P9&gt;=71,"ब-1",IF(P9&gt;=61,"ब-2",IF(P9&gt;=51,"क-1",IF(P9&gt;=41,"क-2",IF(P9&gt;=33,"ड",IF(P9&gt;=21,"इ-1",IF(P9&gt;=1,"इ-2","-")))))))))</f>
        <v/>
      </c>
      <c r="R9" s="36">
        <f>O9</f>
        <v/>
      </c>
      <c r="S9" s="2" t="n"/>
      <c r="T9" s="2" t="n"/>
      <c r="U9" s="2" t="n"/>
      <c r="V9" s="21" t="n"/>
      <c r="W9" s="6" t="inlineStr">
        <is>
          <t>तंत्रानिहाय भारांश=</t>
        </is>
      </c>
      <c r="X9" s="7" t="n">
        <v>0</v>
      </c>
      <c r="Y9" s="7" t="n">
        <v>10</v>
      </c>
      <c r="Z9" s="7" t="n">
        <v>10</v>
      </c>
      <c r="AA9" s="7" t="n">
        <v>10</v>
      </c>
      <c r="AB9" s="7" t="n">
        <v>20</v>
      </c>
      <c r="AC9" s="7" t="n">
        <v>10</v>
      </c>
      <c r="AD9" s="7" t="inlineStr">
        <is>
          <t>-</t>
        </is>
      </c>
      <c r="AE9" s="7" t="n">
        <v>60</v>
      </c>
      <c r="AF9" s="7" t="n">
        <v>10</v>
      </c>
      <c r="AG9" s="7" t="inlineStr">
        <is>
          <t>-</t>
        </is>
      </c>
      <c r="AH9" s="7" t="n">
        <v>30</v>
      </c>
      <c r="AI9" s="7" t="n">
        <v>40</v>
      </c>
      <c r="AJ9" s="7">
        <f>SUM(AE9,AI9)</f>
        <v/>
      </c>
      <c r="AK9" s="7">
        <f>IFERROR(ROUND(((AJ9)*100)/AM9,0),0)</f>
        <v/>
      </c>
      <c r="AL9" s="8">
        <f>IF(AK9&gt;=91,"अ-1",IF(AK9&gt;=81,"अ-2",IF(AK9&gt;=71,"ब-1",IF(AK9&gt;=61,"ब-2",IF(AK9&gt;=51,"क-1",IF(AK9&gt;=41,"क-2",IF(AK9&gt;=33,"ड",IF(AK9&gt;=21,"इ-1",IF(AK9&gt;=1,"इ-2","-")))))))))</f>
        <v/>
      </c>
      <c r="AM9" s="36">
        <f>AJ9</f>
        <v/>
      </c>
    </row>
    <row r="10" ht="27.75" customHeight="1">
      <c r="A10" s="9">
        <f>'[1]विद्यार्थी माहिती'!A10</f>
        <v/>
      </c>
      <c r="B10" s="10" t="inlineStr">
        <is>
          <t>Kishor Prabhakar Shirsat</t>
        </is>
      </c>
      <c r="C10" s="11" t="n">
        <v>4</v>
      </c>
      <c r="D10" s="11" t="n">
        <v>7</v>
      </c>
      <c r="E10" s="11" t="n">
        <v>7</v>
      </c>
      <c r="F10" s="11" t="n"/>
      <c r="G10" s="11" t="n">
        <v>8</v>
      </c>
      <c r="H10" s="11" t="n">
        <v>8</v>
      </c>
      <c r="I10" s="11" t="n">
        <v>9</v>
      </c>
      <c r="J10" s="12">
        <f>SUM(C10:I10)</f>
        <v/>
      </c>
      <c r="K10" s="11" t="n">
        <v>0</v>
      </c>
      <c r="L10" s="11" t="n"/>
      <c r="M10" s="11" t="n">
        <v>7</v>
      </c>
      <c r="N10" s="12">
        <f>SUM(K10:M10)</f>
        <v/>
      </c>
      <c r="O10" s="12">
        <f>SUM(J10,N10)</f>
        <v/>
      </c>
      <c r="P10" s="12">
        <f>IFERROR(ROUND(((O10)*100)/R10,0),0)</f>
        <v/>
      </c>
      <c r="Q10" s="13">
        <f>IF(P10&gt;=91,"अ-1",IF(P10&gt;=81,"अ-2",IF(P10&gt;=71,"ब-1",IF(P10&gt;=61,"ब-2",IF(P10&gt;=51,"क-1",IF(P10&gt;=41,"क-2",IF(P10&gt;=33,"ड",IF(P10&gt;=21,"इ-1",IF(P10&gt;=1,"इ-2","-")))))))))</f>
        <v/>
      </c>
      <c r="R10" s="36">
        <f>R9</f>
        <v/>
      </c>
      <c r="S10" s="14" t="n"/>
      <c r="T10" s="2" t="n"/>
      <c r="U10" s="14" t="n"/>
      <c r="V10" s="9">
        <f>'[1]विद्यार्थी माहिती'!V11</f>
        <v/>
      </c>
      <c r="W10" s="10" t="n"/>
      <c r="X10" s="11" t="n"/>
      <c r="Y10" s="11" t="n"/>
      <c r="Z10" s="11" t="n"/>
      <c r="AA10" s="11" t="n"/>
      <c r="AB10" s="11" t="n"/>
      <c r="AC10" s="11" t="n"/>
      <c r="AD10" s="11" t="n"/>
      <c r="AE10" s="12">
        <f>SUM(X10:AD10)</f>
        <v/>
      </c>
      <c r="AF10" s="11" t="n"/>
      <c r="AG10" s="11" t="n"/>
      <c r="AH10" s="11" t="n"/>
      <c r="AI10" s="12" t="n"/>
      <c r="AJ10" s="12">
        <f>SUM(AE10,AI10)</f>
        <v/>
      </c>
      <c r="AK10" s="12">
        <f>IFERROR(ROUND(((AJ10)*100)/AM10,0),0)</f>
        <v/>
      </c>
      <c r="AL10" s="13">
        <f>IF(AK10&gt;=91,"अ-1",IF(AK10&gt;=81,"अ-2",IF(AK10&gt;=71,"ब-1",IF(AK10&gt;=61,"ब-2",IF(AK10&gt;=51,"क-1",IF(AK10&gt;=41,"क-2",IF(AK10&gt;=33,"ड",IF(AK10&gt;=21,"इ-1",IF(AK10&gt;=1,"इ-2","-")))))))))</f>
        <v/>
      </c>
      <c r="AM10" s="36">
        <f>AM9</f>
        <v/>
      </c>
    </row>
    <row r="11" ht="27.75" customHeight="1">
      <c r="A11" s="9">
        <f>'[1]विद्यार्थी माहिती'!A11</f>
        <v/>
      </c>
      <c r="B11" s="10" t="n"/>
      <c r="C11" s="11" t="n"/>
      <c r="D11" s="11" t="n"/>
      <c r="E11" s="11" t="n"/>
      <c r="F11" s="11" t="n"/>
      <c r="G11" s="11" t="n"/>
      <c r="H11" s="11" t="n"/>
      <c r="I11" s="11" t="n"/>
      <c r="J11" s="12">
        <f>SUM(C11:I11)</f>
        <v/>
      </c>
      <c r="K11" s="11" t="n"/>
      <c r="L11" s="11" t="n"/>
      <c r="M11" s="11" t="n"/>
      <c r="N11" s="12">
        <f>SUM(K11:M11)</f>
        <v/>
      </c>
      <c r="O11" s="12">
        <f>SUM(J11,N11)</f>
        <v/>
      </c>
      <c r="P11" s="12">
        <f>IFERROR(ROUND(((O11)*100)/R11,0),0)</f>
        <v/>
      </c>
      <c r="Q11" s="13">
        <f>IF(P11&gt;=91,"अ-1",IF(P11&gt;=81,"अ-2",IF(P11&gt;=71,"ब-1",IF(P11&gt;=61,"ब-2",IF(P11&gt;=51,"क-1",IF(P11&gt;=41,"क-2",IF(P11&gt;=33,"ड",IF(P11&gt;=21,"इ-1",IF(P11&gt;=1,"इ-2","-")))))))))</f>
        <v/>
      </c>
      <c r="R11" s="36">
        <f>R10</f>
        <v/>
      </c>
      <c r="S11" s="14" t="n"/>
      <c r="T11" s="2" t="n"/>
      <c r="U11" s="14" t="n"/>
      <c r="V11" s="9">
        <f>'[1]विद्यार्थी माहिती'!V12</f>
        <v/>
      </c>
      <c r="W11" s="10" t="n"/>
      <c r="X11" s="11" t="n"/>
      <c r="Y11" s="11" t="n"/>
      <c r="Z11" s="11" t="n"/>
      <c r="AA11" s="11" t="n"/>
      <c r="AB11" s="11" t="n"/>
      <c r="AC11" s="11" t="n"/>
      <c r="AD11" s="11" t="n"/>
      <c r="AE11" s="12">
        <f>SUM(X11:AD11)</f>
        <v/>
      </c>
      <c r="AF11" s="11" t="n"/>
      <c r="AG11" s="11" t="n"/>
      <c r="AH11" s="11" t="n"/>
      <c r="AI11" s="12">
        <f>SUM(AF11:AH11)</f>
        <v/>
      </c>
      <c r="AJ11" s="12">
        <f>SUM(AE11,AI11)</f>
        <v/>
      </c>
      <c r="AK11" s="12">
        <f>IFERROR(ROUND(((AJ11)*100)/AM11,0),0)</f>
        <v/>
      </c>
      <c r="AL11" s="13">
        <f>IF(AK11&gt;=91,"अ-1",IF(AK11&gt;=81,"अ-2",IF(AK11&gt;=71,"ब-1",IF(AK11&gt;=61,"ब-2",IF(AK11&gt;=51,"क-1",IF(AK11&gt;=41,"क-2",IF(AK11&gt;=33,"ड",IF(AK11&gt;=21,"इ-1",IF(AK11&gt;=1,"इ-2","-")))))))))</f>
        <v/>
      </c>
      <c r="AM11" s="36">
        <f>AM10</f>
        <v/>
      </c>
    </row>
    <row r="12" ht="27.75" customHeight="1">
      <c r="A12" s="9">
        <f>'[1]विद्यार्थी माहिती'!A12</f>
        <v/>
      </c>
      <c r="B12" s="10" t="n"/>
      <c r="C12" s="11" t="n"/>
      <c r="D12" s="11" t="n"/>
      <c r="E12" s="11" t="n"/>
      <c r="F12" s="11" t="n"/>
      <c r="G12" s="11" t="n"/>
      <c r="H12" s="11" t="n"/>
      <c r="I12" s="11" t="n"/>
      <c r="J12" s="12">
        <f>SUM(C12:I12)</f>
        <v/>
      </c>
      <c r="K12" s="11" t="n"/>
      <c r="L12" s="11" t="n"/>
      <c r="M12" s="11" t="n"/>
      <c r="N12" s="12">
        <f>SUM(K12:M12)</f>
        <v/>
      </c>
      <c r="O12" s="12">
        <f>SUM(J12,N12)</f>
        <v/>
      </c>
      <c r="P12" s="12">
        <f>IFERROR(ROUND(((O12)*100)/R12,0),0)</f>
        <v/>
      </c>
      <c r="Q12" s="13">
        <f>IF(P12&gt;=91,"अ-1",IF(P12&gt;=81,"अ-2",IF(P12&gt;=71,"ब-1",IF(P12&gt;=61,"ब-2",IF(P12&gt;=51,"क-1",IF(P12&gt;=41,"क-2",IF(P12&gt;=33,"ड",IF(P12&gt;=21,"इ-1",IF(P12&gt;=1,"इ-2","-")))))))))</f>
        <v/>
      </c>
      <c r="R12" s="36">
        <f>R11</f>
        <v/>
      </c>
      <c r="S12" s="14" t="n"/>
      <c r="T12" s="2" t="n"/>
      <c r="U12" s="14" t="n"/>
      <c r="V12" s="9">
        <f>'[1]विद्यार्थी माहिती'!V13</f>
        <v/>
      </c>
      <c r="W12" s="10" t="n"/>
      <c r="X12" s="11" t="n"/>
      <c r="Y12" s="11" t="n"/>
      <c r="Z12" s="11" t="n"/>
      <c r="AA12" s="11" t="n"/>
      <c r="AB12" s="11" t="n"/>
      <c r="AC12" s="11" t="n"/>
      <c r="AD12" s="11" t="n"/>
      <c r="AE12" s="12">
        <f>SUM(X12:AD12)</f>
        <v/>
      </c>
      <c r="AF12" s="11" t="n"/>
      <c r="AG12" s="11" t="n"/>
      <c r="AH12" s="11" t="n"/>
      <c r="AI12" s="12">
        <f>SUM(AF12:AH12)</f>
        <v/>
      </c>
      <c r="AJ12" s="12">
        <f>SUM(AE12,AI12)</f>
        <v/>
      </c>
      <c r="AK12" s="12">
        <f>IFERROR(ROUND(((AJ12)*100)/AM12,0),0)</f>
        <v/>
      </c>
      <c r="AL12" s="13">
        <f>IF(AK12&gt;=91,"अ-1",IF(AK12&gt;=81,"अ-2",IF(AK12&gt;=71,"ब-1",IF(AK12&gt;=61,"ब-2",IF(AK12&gt;=51,"क-1",IF(AK12&gt;=41,"क-2",IF(AK12&gt;=33,"ड",IF(AK12&gt;=21,"इ-1",IF(AK12&gt;=1,"इ-2","-")))))))))</f>
        <v/>
      </c>
      <c r="AM12" s="36">
        <f>AM11</f>
        <v/>
      </c>
    </row>
    <row r="13" ht="27.75" customHeight="1">
      <c r="A13" s="9">
        <f>'[1]विद्यार्थी माहिती'!A13</f>
        <v/>
      </c>
      <c r="B13" s="10" t="n"/>
      <c r="C13" s="11" t="n"/>
      <c r="D13" s="11" t="n"/>
      <c r="E13" s="11" t="n"/>
      <c r="F13" s="11" t="n"/>
      <c r="G13" s="11" t="n"/>
      <c r="H13" s="11" t="n"/>
      <c r="I13" s="11" t="n"/>
      <c r="J13" s="12">
        <f>SUM(C13:I13)</f>
        <v/>
      </c>
      <c r="K13" s="11" t="n"/>
      <c r="L13" s="11" t="n"/>
      <c r="M13" s="11" t="n"/>
      <c r="N13" s="12">
        <f>SUM(K13:M13)</f>
        <v/>
      </c>
      <c r="O13" s="12">
        <f>SUM(J13,N13)</f>
        <v/>
      </c>
      <c r="P13" s="12">
        <f>IFERROR(ROUND(((O13)*100)/R13,0),0)</f>
        <v/>
      </c>
      <c r="Q13" s="13">
        <f>IF(P13&gt;=91,"अ-1",IF(P13&gt;=81,"अ-2",IF(P13&gt;=71,"ब-1",IF(P13&gt;=61,"ब-2",IF(P13&gt;=51,"क-1",IF(P13&gt;=41,"क-2",IF(P13&gt;=33,"ड",IF(P13&gt;=21,"इ-1",IF(P13&gt;=1,"इ-2","-")))))))))</f>
        <v/>
      </c>
      <c r="R13" s="36">
        <f>R12</f>
        <v/>
      </c>
      <c r="S13" s="14" t="n"/>
      <c r="T13" s="2" t="n"/>
      <c r="U13" s="14" t="n"/>
      <c r="V13" s="9">
        <f>'[1]विद्यार्थी माहिती'!V14</f>
        <v/>
      </c>
      <c r="W13" s="10" t="n"/>
      <c r="X13" s="11" t="n"/>
      <c r="Y13" s="11" t="n"/>
      <c r="Z13" s="11" t="n"/>
      <c r="AA13" s="11" t="n"/>
      <c r="AB13" s="11" t="n"/>
      <c r="AC13" s="11" t="n"/>
      <c r="AD13" s="11" t="n"/>
      <c r="AE13" s="12">
        <f>SUM(X13:AD13)</f>
        <v/>
      </c>
      <c r="AF13" s="11" t="n"/>
      <c r="AG13" s="11" t="n"/>
      <c r="AH13" s="11" t="n"/>
      <c r="AI13" s="12">
        <f>SUM(AF13:AH13)</f>
        <v/>
      </c>
      <c r="AJ13" s="12">
        <f>SUM(AE13,AI13)</f>
        <v/>
      </c>
      <c r="AK13" s="12">
        <f>IFERROR(ROUND(((AJ13)*100)/AM13,0),0)</f>
        <v/>
      </c>
      <c r="AL13" s="13">
        <f>IF(AK13&gt;=91,"अ-1",IF(AK13&gt;=81,"अ-2",IF(AK13&gt;=71,"ब-1",IF(AK13&gt;=61,"ब-2",IF(AK13&gt;=51,"क-1",IF(AK13&gt;=41,"क-2",IF(AK13&gt;=33,"ड",IF(AK13&gt;=21,"इ-1",IF(AK13&gt;=1,"इ-2","-")))))))))</f>
        <v/>
      </c>
      <c r="AM13" s="36">
        <f>AM12</f>
        <v/>
      </c>
    </row>
    <row r="14" ht="27.75" customHeight="1">
      <c r="A14" s="9">
        <f>'[1]विद्यार्थी माहिती'!A14</f>
        <v/>
      </c>
      <c r="B14" s="10" t="n"/>
      <c r="C14" s="11" t="n"/>
      <c r="D14" s="11" t="n"/>
      <c r="E14" s="11" t="n"/>
      <c r="F14" s="11" t="n"/>
      <c r="G14" s="11" t="n"/>
      <c r="H14" s="11" t="n"/>
      <c r="I14" s="11" t="n"/>
      <c r="J14" s="12">
        <f>SUM(C14:I14)</f>
        <v/>
      </c>
      <c r="K14" s="11" t="n"/>
      <c r="L14" s="11" t="n"/>
      <c r="M14" s="11" t="n"/>
      <c r="N14" s="12">
        <f>SUM(K14:M14)</f>
        <v/>
      </c>
      <c r="O14" s="12">
        <f>SUM(J14,N14)</f>
        <v/>
      </c>
      <c r="P14" s="12">
        <f>IFERROR(ROUND(((O14)*100)/R14,0),0)</f>
        <v/>
      </c>
      <c r="Q14" s="13">
        <f>IF(P14&gt;=91,"अ-1",IF(P14&gt;=81,"अ-2",IF(P14&gt;=71,"ब-1",IF(P14&gt;=61,"ब-2",IF(P14&gt;=51,"क-1",IF(P14&gt;=41,"क-2",IF(P14&gt;=33,"ड",IF(P14&gt;=21,"इ-1",IF(P14&gt;=1,"इ-2","-")))))))))</f>
        <v/>
      </c>
      <c r="R14" s="36">
        <f>R13</f>
        <v/>
      </c>
      <c r="S14" s="14" t="n"/>
      <c r="T14" s="2" t="n"/>
      <c r="U14" s="14" t="n"/>
      <c r="V14" s="9">
        <f>'[1]विद्यार्थी माहिती'!V15</f>
        <v/>
      </c>
      <c r="W14" s="10" t="n"/>
      <c r="X14" s="11" t="n"/>
      <c r="Y14" s="11" t="n"/>
      <c r="Z14" s="11" t="n"/>
      <c r="AA14" s="11" t="n"/>
      <c r="AB14" s="11" t="n"/>
      <c r="AC14" s="11" t="n"/>
      <c r="AD14" s="11" t="n"/>
      <c r="AE14" s="12">
        <f>SUM(X14:AD14)</f>
        <v/>
      </c>
      <c r="AF14" s="11" t="n"/>
      <c r="AG14" s="11" t="n"/>
      <c r="AH14" s="11" t="n"/>
      <c r="AI14" s="12">
        <f>SUM(AF14:AH14)</f>
        <v/>
      </c>
      <c r="AJ14" s="12">
        <f>SUM(AE14,AI14)</f>
        <v/>
      </c>
      <c r="AK14" s="12">
        <f>IFERROR(ROUND(((AJ14)*100)/AM14,0),0)</f>
        <v/>
      </c>
      <c r="AL14" s="13">
        <f>IF(AK14&gt;=91,"अ-1",IF(AK14&gt;=81,"अ-2",IF(AK14&gt;=71,"ब-1",IF(AK14&gt;=61,"ब-2",IF(AK14&gt;=51,"क-1",IF(AK14&gt;=41,"क-2",IF(AK14&gt;=33,"ड",IF(AK14&gt;=21,"इ-1",IF(AK14&gt;=1,"इ-2","-")))))))))</f>
        <v/>
      </c>
      <c r="AM14" s="36">
        <f>AM13</f>
        <v/>
      </c>
    </row>
    <row r="15" ht="27.75" customHeight="1">
      <c r="A15" s="9">
        <f>'[1]विद्यार्थी माहिती'!A15</f>
        <v/>
      </c>
      <c r="B15" s="10" t="n"/>
      <c r="C15" s="11" t="n"/>
      <c r="D15" s="11" t="n"/>
      <c r="E15" s="11" t="n"/>
      <c r="F15" s="11" t="n"/>
      <c r="G15" s="11" t="n"/>
      <c r="H15" s="11" t="n"/>
      <c r="I15" s="11" t="n"/>
      <c r="J15" s="12">
        <f>SUM(C15:I15)</f>
        <v/>
      </c>
      <c r="K15" s="11" t="n"/>
      <c r="L15" s="11" t="n"/>
      <c r="M15" s="11" t="n"/>
      <c r="N15" s="12">
        <f>SUM(K15:M15)</f>
        <v/>
      </c>
      <c r="O15" s="12">
        <f>SUM(J15,N15)</f>
        <v/>
      </c>
      <c r="P15" s="12">
        <f>IFERROR(ROUND(((O15)*100)/R15,0),0)</f>
        <v/>
      </c>
      <c r="Q15" s="13">
        <f>IF(P15&gt;=91,"अ-1",IF(P15&gt;=81,"अ-2",IF(P15&gt;=71,"ब-1",IF(P15&gt;=61,"ब-2",IF(P15&gt;=51,"क-1",IF(P15&gt;=41,"क-2",IF(P15&gt;=33,"ड",IF(P15&gt;=21,"इ-1",IF(P15&gt;=1,"इ-2","-")))))))))</f>
        <v/>
      </c>
      <c r="R15" s="36">
        <f>R14</f>
        <v/>
      </c>
      <c r="S15" s="14" t="n"/>
      <c r="T15" s="2" t="n"/>
      <c r="U15" s="14" t="n"/>
      <c r="V15" s="9">
        <f>'[1]विद्यार्थी माहिती'!V16</f>
        <v/>
      </c>
      <c r="W15" s="10" t="n"/>
      <c r="X15" s="11" t="n"/>
      <c r="Y15" s="11" t="n"/>
      <c r="Z15" s="11" t="n"/>
      <c r="AA15" s="11" t="n"/>
      <c r="AB15" s="11" t="n"/>
      <c r="AC15" s="11" t="n"/>
      <c r="AD15" s="11" t="n"/>
      <c r="AE15" s="12">
        <f>SUM(X15:AD15)</f>
        <v/>
      </c>
      <c r="AF15" s="11" t="n"/>
      <c r="AG15" s="11" t="n"/>
      <c r="AH15" s="11" t="n"/>
      <c r="AI15" s="12">
        <f>SUM(AF15:AH15)</f>
        <v/>
      </c>
      <c r="AJ15" s="12">
        <f>SUM(AE15,AI15)</f>
        <v/>
      </c>
      <c r="AK15" s="12">
        <f>IFERROR(ROUND(((AJ15)*100)/AM15,0),0)</f>
        <v/>
      </c>
      <c r="AL15" s="13">
        <f>IF(AK15&gt;=91,"अ-1",IF(AK15&gt;=81,"अ-2",IF(AK15&gt;=71,"ब-1",IF(AK15&gt;=61,"ब-2",IF(AK15&gt;=51,"क-1",IF(AK15&gt;=41,"क-2",IF(AK15&gt;=33,"ड",IF(AK15&gt;=21,"इ-1",IF(AK15&gt;=1,"इ-2","-")))))))))</f>
        <v/>
      </c>
      <c r="AM15" s="36">
        <f>AM14</f>
        <v/>
      </c>
    </row>
    <row r="16" ht="27.75" customHeight="1">
      <c r="A16" s="9">
        <f>'[1]विद्यार्थी माहिती'!A16</f>
        <v/>
      </c>
      <c r="B16" s="10" t="n"/>
      <c r="C16" s="11" t="n"/>
      <c r="D16" s="11" t="n"/>
      <c r="E16" s="11" t="n"/>
      <c r="F16" s="11" t="n"/>
      <c r="G16" s="11" t="n"/>
      <c r="H16" s="11" t="n"/>
      <c r="I16" s="11" t="n"/>
      <c r="J16" s="12">
        <f>SUM(C16:I16)</f>
        <v/>
      </c>
      <c r="K16" s="11" t="n"/>
      <c r="L16" s="11" t="n"/>
      <c r="M16" s="11" t="n"/>
      <c r="N16" s="12">
        <f>SUM(K16:M16)</f>
        <v/>
      </c>
      <c r="O16" s="12">
        <f>SUM(J16,N16)</f>
        <v/>
      </c>
      <c r="P16" s="12">
        <f>IFERROR(ROUND(((O16)*100)/R16,0),0)</f>
        <v/>
      </c>
      <c r="Q16" s="13">
        <f>IF(P16&gt;=91,"अ-1",IF(P16&gt;=81,"अ-2",IF(P16&gt;=71,"ब-1",IF(P16&gt;=61,"ब-2",IF(P16&gt;=51,"क-1",IF(P16&gt;=41,"क-2",IF(P16&gt;=33,"ड",IF(P16&gt;=21,"इ-1",IF(P16&gt;=1,"इ-2","-")))))))))</f>
        <v/>
      </c>
      <c r="R16" s="36">
        <f>R15</f>
        <v/>
      </c>
      <c r="S16" s="14" t="n"/>
      <c r="T16" s="2" t="n"/>
      <c r="U16" s="14" t="n"/>
      <c r="V16" s="9">
        <f>'[1]विद्यार्थी माहिती'!V17</f>
        <v/>
      </c>
      <c r="W16" s="10" t="n"/>
      <c r="X16" s="11" t="n"/>
      <c r="Y16" s="11" t="n"/>
      <c r="Z16" s="11" t="n"/>
      <c r="AA16" s="11" t="n"/>
      <c r="AB16" s="11" t="n"/>
      <c r="AC16" s="11" t="n"/>
      <c r="AD16" s="11" t="n"/>
      <c r="AE16" s="12">
        <f>SUM(X16:AD16)</f>
        <v/>
      </c>
      <c r="AF16" s="11" t="n"/>
      <c r="AG16" s="11" t="n"/>
      <c r="AH16" s="11" t="n"/>
      <c r="AI16" s="12">
        <f>SUM(AF16:AH16)</f>
        <v/>
      </c>
      <c r="AJ16" s="12">
        <f>SUM(AE16,AI16)</f>
        <v/>
      </c>
      <c r="AK16" s="12">
        <f>IFERROR(ROUND(((AJ16)*100)/AM16,0),0)</f>
        <v/>
      </c>
      <c r="AL16" s="13">
        <f>IF(AK16&gt;=91,"अ-1",IF(AK16&gt;=81,"अ-2",IF(AK16&gt;=71,"ब-1",IF(AK16&gt;=61,"ब-2",IF(AK16&gt;=51,"क-1",IF(AK16&gt;=41,"क-2",IF(AK16&gt;=33,"ड",IF(AK16&gt;=21,"इ-1",IF(AK16&gt;=1,"इ-2","-")))))))))</f>
        <v/>
      </c>
      <c r="AM16" s="36">
        <f>AM15</f>
        <v/>
      </c>
    </row>
    <row r="17" ht="27.75" customHeight="1">
      <c r="A17" s="9">
        <f>'[1]विद्यार्थी माहिती'!A17</f>
        <v/>
      </c>
      <c r="B17" s="10" t="n"/>
      <c r="C17" s="11" t="n"/>
      <c r="D17" s="11" t="n"/>
      <c r="E17" s="11" t="n"/>
      <c r="F17" s="11" t="n"/>
      <c r="G17" s="11" t="n"/>
      <c r="H17" s="11" t="n"/>
      <c r="I17" s="11" t="n"/>
      <c r="J17" s="12">
        <f>SUM(C17:I17)</f>
        <v/>
      </c>
      <c r="K17" s="11" t="n"/>
      <c r="L17" s="11" t="n"/>
      <c r="M17" s="11" t="n"/>
      <c r="N17" s="12">
        <f>SUM(K17:M17)</f>
        <v/>
      </c>
      <c r="O17" s="12">
        <f>SUM(J17,N17)</f>
        <v/>
      </c>
      <c r="P17" s="12">
        <f>IFERROR(ROUND(((O17)*100)/R17,0),0)</f>
        <v/>
      </c>
      <c r="Q17" s="13">
        <f>IF(P17&gt;=91,"अ-1",IF(P17&gt;=81,"अ-2",IF(P17&gt;=71,"ब-1",IF(P17&gt;=61,"ब-2",IF(P17&gt;=51,"क-1",IF(P17&gt;=41,"क-2",IF(P17&gt;=33,"ड",IF(P17&gt;=21,"इ-1",IF(P17&gt;=1,"इ-2","-")))))))))</f>
        <v/>
      </c>
      <c r="R17" s="36">
        <f>R16</f>
        <v/>
      </c>
      <c r="S17" s="14" t="n"/>
      <c r="T17" s="2" t="n"/>
      <c r="U17" s="14" t="n"/>
      <c r="V17" s="9">
        <f>'[1]विद्यार्थी माहिती'!V18</f>
        <v/>
      </c>
      <c r="W17" s="10" t="n"/>
      <c r="X17" s="11" t="n"/>
      <c r="Y17" s="11" t="n"/>
      <c r="Z17" s="11" t="n"/>
      <c r="AA17" s="11" t="n"/>
      <c r="AB17" s="11" t="n"/>
      <c r="AC17" s="11" t="n"/>
      <c r="AD17" s="11" t="n"/>
      <c r="AE17" s="12">
        <f>SUM(X17:AD17)</f>
        <v/>
      </c>
      <c r="AF17" s="11" t="n"/>
      <c r="AG17" s="11" t="n"/>
      <c r="AH17" s="11" t="n"/>
      <c r="AI17" s="12">
        <f>SUM(AF17:AH17)</f>
        <v/>
      </c>
      <c r="AJ17" s="12">
        <f>SUM(AE17,AI17)</f>
        <v/>
      </c>
      <c r="AK17" s="12">
        <f>IFERROR(ROUND(((AJ17)*100)/AM17,0),0)</f>
        <v/>
      </c>
      <c r="AL17" s="13">
        <f>IF(AK17&gt;=91,"अ-1",IF(AK17&gt;=81,"अ-2",IF(AK17&gt;=71,"ब-1",IF(AK17&gt;=61,"ब-2",IF(AK17&gt;=51,"क-1",IF(AK17&gt;=41,"क-2",IF(AK17&gt;=33,"ड",IF(AK17&gt;=21,"इ-1",IF(AK17&gt;=1,"इ-2","-")))))))))</f>
        <v/>
      </c>
      <c r="AM17" s="36">
        <f>AM16</f>
        <v/>
      </c>
    </row>
    <row r="18" ht="27.75" customHeight="1">
      <c r="A18" s="9">
        <f>'[1]विद्यार्थी माहिती'!A18</f>
        <v/>
      </c>
      <c r="B18" s="10" t="n"/>
      <c r="C18" s="11" t="n"/>
      <c r="D18" s="11" t="n"/>
      <c r="E18" s="11" t="n"/>
      <c r="F18" s="11" t="n"/>
      <c r="G18" s="11" t="n"/>
      <c r="H18" s="11" t="n"/>
      <c r="I18" s="11" t="n"/>
      <c r="J18" s="12">
        <f>SUM(C18:I18)</f>
        <v/>
      </c>
      <c r="K18" s="11" t="n"/>
      <c r="L18" s="11" t="n"/>
      <c r="M18" s="11" t="n"/>
      <c r="N18" s="12">
        <f>SUM(K18:M18)</f>
        <v/>
      </c>
      <c r="O18" s="12">
        <f>SUM(J18,N18)</f>
        <v/>
      </c>
      <c r="P18" s="12">
        <f>IFERROR(ROUND(((O18)*100)/R18,0),0)</f>
        <v/>
      </c>
      <c r="Q18" s="13">
        <f>IF(P18&gt;=91,"अ-1",IF(P18&gt;=81,"अ-2",IF(P18&gt;=71,"ब-1",IF(P18&gt;=61,"ब-2",IF(P18&gt;=51,"क-1",IF(P18&gt;=41,"क-2",IF(P18&gt;=33,"ड",IF(P18&gt;=21,"इ-1",IF(P18&gt;=1,"इ-2","-")))))))))</f>
        <v/>
      </c>
      <c r="R18" s="36">
        <f>R17</f>
        <v/>
      </c>
      <c r="S18" s="14" t="n"/>
      <c r="T18" s="2" t="n"/>
      <c r="U18" s="14" t="n"/>
      <c r="V18" s="9">
        <f>'[1]विद्यार्थी माहिती'!V19</f>
        <v/>
      </c>
      <c r="W18" s="10" t="n"/>
      <c r="X18" s="11" t="n"/>
      <c r="Y18" s="11" t="n"/>
      <c r="Z18" s="11" t="n"/>
      <c r="AA18" s="11" t="n"/>
      <c r="AB18" s="11" t="n"/>
      <c r="AC18" s="11" t="n"/>
      <c r="AD18" s="11" t="n"/>
      <c r="AE18" s="12">
        <f>SUM(X18:AD18)</f>
        <v/>
      </c>
      <c r="AF18" s="11" t="n"/>
      <c r="AG18" s="11" t="n"/>
      <c r="AH18" s="11" t="n"/>
      <c r="AI18" s="12">
        <f>SUM(AF18:AH18)</f>
        <v/>
      </c>
      <c r="AJ18" s="12">
        <f>SUM(AE18,AI18)</f>
        <v/>
      </c>
      <c r="AK18" s="12">
        <f>IFERROR(ROUND(((AJ18)*100)/AM18,0),0)</f>
        <v/>
      </c>
      <c r="AL18" s="13">
        <f>IF(AK18&gt;=91,"अ-1",IF(AK18&gt;=81,"अ-2",IF(AK18&gt;=71,"ब-1",IF(AK18&gt;=61,"ब-2",IF(AK18&gt;=51,"क-1",IF(AK18&gt;=41,"क-2",IF(AK18&gt;=33,"ड",IF(AK18&gt;=21,"इ-1",IF(AK18&gt;=1,"इ-2","-")))))))))</f>
        <v/>
      </c>
      <c r="AM18" s="36">
        <f>AM17</f>
        <v/>
      </c>
    </row>
    <row r="19" ht="27.75" customHeight="1">
      <c r="A19" s="9">
        <f>'[1]विद्यार्थी माहिती'!A19</f>
        <v/>
      </c>
      <c r="B19" s="10" t="n"/>
      <c r="C19" s="11" t="n"/>
      <c r="D19" s="11" t="n"/>
      <c r="E19" s="11" t="n"/>
      <c r="F19" s="11" t="n"/>
      <c r="G19" s="11" t="n"/>
      <c r="H19" s="11" t="n"/>
      <c r="I19" s="11" t="n"/>
      <c r="J19" s="12">
        <f>SUM(C19:I19)</f>
        <v/>
      </c>
      <c r="K19" s="11" t="n"/>
      <c r="L19" s="11" t="n"/>
      <c r="M19" s="11" t="n"/>
      <c r="N19" s="12">
        <f>SUM(K19:M19)</f>
        <v/>
      </c>
      <c r="O19" s="12">
        <f>SUM(J19,N19)</f>
        <v/>
      </c>
      <c r="P19" s="12">
        <f>IFERROR(ROUND(((O19)*100)/R19,0),0)</f>
        <v/>
      </c>
      <c r="Q19" s="13">
        <f>IF(P19&gt;=91,"अ-1",IF(P19&gt;=81,"अ-2",IF(P19&gt;=71,"ब-1",IF(P19&gt;=61,"ब-2",IF(P19&gt;=51,"क-1",IF(P19&gt;=41,"क-2",IF(P19&gt;=33,"ड",IF(P19&gt;=21,"इ-1",IF(P19&gt;=1,"इ-2","-")))))))))</f>
        <v/>
      </c>
      <c r="R19" s="36">
        <f>R18</f>
        <v/>
      </c>
      <c r="S19" s="14" t="n"/>
      <c r="T19" s="2" t="n"/>
      <c r="U19" s="14" t="n"/>
      <c r="V19" s="9">
        <f>'[1]विद्यार्थी माहिती'!V20</f>
        <v/>
      </c>
      <c r="W19" s="10" t="n"/>
      <c r="X19" s="11" t="n"/>
      <c r="Y19" s="11" t="n"/>
      <c r="Z19" s="11" t="n"/>
      <c r="AA19" s="11" t="n"/>
      <c r="AB19" s="11" t="n"/>
      <c r="AC19" s="11" t="n"/>
      <c r="AD19" s="11" t="n"/>
      <c r="AE19" s="12">
        <f>SUM(X19:AD19)</f>
        <v/>
      </c>
      <c r="AF19" s="11" t="n"/>
      <c r="AG19" s="11" t="n"/>
      <c r="AH19" s="11" t="n"/>
      <c r="AI19" s="12">
        <f>SUM(AF19:AH19)</f>
        <v/>
      </c>
      <c r="AJ19" s="12">
        <f>SUM(AE19,AI19)</f>
        <v/>
      </c>
      <c r="AK19" s="12">
        <f>IFERROR(ROUND(((AJ19)*100)/AM19,0),0)</f>
        <v/>
      </c>
      <c r="AL19" s="13">
        <f>IF(AK19&gt;=91,"अ-1",IF(AK19&gt;=81,"अ-2",IF(AK19&gt;=71,"ब-1",IF(AK19&gt;=61,"ब-2",IF(AK19&gt;=51,"क-1",IF(AK19&gt;=41,"क-2",IF(AK19&gt;=33,"ड",IF(AK19&gt;=21,"इ-1",IF(AK19&gt;=1,"इ-2","-")))))))))</f>
        <v/>
      </c>
      <c r="AM19" s="36">
        <f>AM18</f>
        <v/>
      </c>
    </row>
    <row r="20" ht="27.75" customHeight="1">
      <c r="A20" s="9">
        <f>'[1]विद्यार्थी माहिती'!A20</f>
        <v/>
      </c>
      <c r="B20" s="10" t="n"/>
      <c r="C20" s="11" t="n"/>
      <c r="D20" s="11" t="n"/>
      <c r="E20" s="11" t="n"/>
      <c r="F20" s="11" t="n"/>
      <c r="G20" s="11" t="n"/>
      <c r="H20" s="11" t="n"/>
      <c r="I20" s="11" t="n"/>
      <c r="J20" s="12">
        <f>SUM(C20:I20)</f>
        <v/>
      </c>
      <c r="K20" s="11" t="n"/>
      <c r="L20" s="11" t="n"/>
      <c r="M20" s="11" t="n"/>
      <c r="N20" s="12">
        <f>SUM(K20:M20)</f>
        <v/>
      </c>
      <c r="O20" s="12">
        <f>SUM(J20,N20)</f>
        <v/>
      </c>
      <c r="P20" s="12">
        <f>IFERROR(ROUND(((O20)*100)/R20,0),0)</f>
        <v/>
      </c>
      <c r="Q20" s="13">
        <f>IF(P20&gt;=91,"अ-1",IF(P20&gt;=81,"अ-2",IF(P20&gt;=71,"ब-1",IF(P20&gt;=61,"ब-2",IF(P20&gt;=51,"क-1",IF(P20&gt;=41,"क-2",IF(P20&gt;=33,"ड",IF(P20&gt;=21,"इ-1",IF(P20&gt;=1,"इ-2","-")))))))))</f>
        <v/>
      </c>
      <c r="R20" s="36">
        <f>R19</f>
        <v/>
      </c>
      <c r="S20" s="14" t="n"/>
      <c r="T20" s="14" t="n"/>
      <c r="U20" s="14" t="n"/>
      <c r="V20" s="9">
        <f>'[1]विद्यार्थी माहिती'!V21</f>
        <v/>
      </c>
      <c r="W20" s="10" t="n"/>
      <c r="X20" s="11" t="n"/>
      <c r="Y20" s="11" t="n"/>
      <c r="Z20" s="11" t="n"/>
      <c r="AA20" s="11" t="n"/>
      <c r="AB20" s="11" t="n"/>
      <c r="AC20" s="11" t="n"/>
      <c r="AD20" s="11" t="n"/>
      <c r="AE20" s="12">
        <f>SUM(X20:AD20)</f>
        <v/>
      </c>
      <c r="AF20" s="11" t="n"/>
      <c r="AG20" s="11" t="n"/>
      <c r="AH20" s="11" t="n"/>
      <c r="AI20" s="12">
        <f>SUM(AF20:AH20)</f>
        <v/>
      </c>
      <c r="AJ20" s="12">
        <f>SUM(AE20,AI20)</f>
        <v/>
      </c>
      <c r="AK20" s="12">
        <f>IFERROR(ROUND(((AJ20)*100)/AM20,0),0)</f>
        <v/>
      </c>
      <c r="AL20" s="13">
        <f>IF(AK20&gt;=91,"अ-1",IF(AK20&gt;=81,"अ-2",IF(AK20&gt;=71,"ब-1",IF(AK20&gt;=61,"ब-2",IF(AK20&gt;=51,"क-1",IF(AK20&gt;=41,"क-2",IF(AK20&gt;=33,"ड",IF(AK20&gt;=21,"इ-1",IF(AK20&gt;=1,"इ-2","-")))))))))</f>
        <v/>
      </c>
      <c r="AM20" s="36">
        <f>AM19</f>
        <v/>
      </c>
    </row>
    <row r="21" ht="27.75" customHeight="1">
      <c r="A21" s="9">
        <f>'[1]विद्यार्थी माहिती'!A21</f>
        <v/>
      </c>
      <c r="B21" s="10" t="n"/>
      <c r="C21" s="11" t="n"/>
      <c r="D21" s="11" t="n"/>
      <c r="E21" s="11" t="n"/>
      <c r="F21" s="11" t="n"/>
      <c r="G21" s="11" t="n"/>
      <c r="H21" s="11" t="n"/>
      <c r="I21" s="11" t="n"/>
      <c r="J21" s="12">
        <f>SUM(C21:I21)</f>
        <v/>
      </c>
      <c r="K21" s="11" t="n"/>
      <c r="L21" s="11" t="n"/>
      <c r="M21" s="11" t="n"/>
      <c r="N21" s="12">
        <f>SUM(K21:M21)</f>
        <v/>
      </c>
      <c r="O21" s="12">
        <f>SUM(J21,N21)</f>
        <v/>
      </c>
      <c r="P21" s="12">
        <f>IFERROR(ROUND(((O21)*100)/R21,0),0)</f>
        <v/>
      </c>
      <c r="Q21" s="13">
        <f>IF(P21&gt;=91,"अ-1",IF(P21&gt;=81,"अ-2",IF(P21&gt;=71,"ब-1",IF(P21&gt;=61,"ब-2",IF(P21&gt;=51,"क-1",IF(P21&gt;=41,"क-2",IF(P21&gt;=33,"ड",IF(P21&gt;=21,"इ-1",IF(P21&gt;=1,"इ-2","-")))))))))</f>
        <v/>
      </c>
      <c r="R21" s="36">
        <f>R20</f>
        <v/>
      </c>
      <c r="S21" s="14" t="n"/>
      <c r="T21" s="14" t="n"/>
      <c r="U21" s="14" t="n"/>
      <c r="V21" s="9">
        <f>'[1]विद्यार्थी माहिती'!V22</f>
        <v/>
      </c>
      <c r="W21" s="10" t="n"/>
      <c r="X21" s="11" t="n"/>
      <c r="Y21" s="11" t="n"/>
      <c r="Z21" s="11" t="n"/>
      <c r="AA21" s="11" t="n"/>
      <c r="AB21" s="11" t="n"/>
      <c r="AC21" s="11" t="n"/>
      <c r="AD21" s="11" t="n"/>
      <c r="AE21" s="12">
        <f>SUM(X21:AD21)</f>
        <v/>
      </c>
      <c r="AF21" s="11" t="n"/>
      <c r="AG21" s="11" t="n"/>
      <c r="AH21" s="11" t="n"/>
      <c r="AI21" s="12">
        <f>SUM(AF21:AH21)</f>
        <v/>
      </c>
      <c r="AJ21" s="12">
        <f>SUM(AE21,AI21)</f>
        <v/>
      </c>
      <c r="AK21" s="12">
        <f>IFERROR(ROUND(((AJ21)*100)/AM21,0),0)</f>
        <v/>
      </c>
      <c r="AL21" s="13">
        <f>IF(AK21&gt;=91,"अ-1",IF(AK21&gt;=81,"अ-2",IF(AK21&gt;=71,"ब-1",IF(AK21&gt;=61,"ब-2",IF(AK21&gt;=51,"क-1",IF(AK21&gt;=41,"क-2",IF(AK21&gt;=33,"ड",IF(AK21&gt;=21,"इ-1",IF(AK21&gt;=1,"इ-2","-")))))))))</f>
        <v/>
      </c>
      <c r="AM21" s="36">
        <f>AM20</f>
        <v/>
      </c>
    </row>
    <row r="22" ht="27.75" customHeight="1">
      <c r="A22" s="9">
        <f>'[1]विद्यार्थी माहिती'!A22</f>
        <v/>
      </c>
      <c r="B22" s="10" t="n"/>
      <c r="C22" s="11" t="n"/>
      <c r="D22" s="11" t="n"/>
      <c r="E22" s="11" t="n"/>
      <c r="F22" s="11" t="n"/>
      <c r="G22" s="11" t="n"/>
      <c r="H22" s="11" t="n"/>
      <c r="I22" s="11" t="n"/>
      <c r="J22" s="12">
        <f>SUM(C22:I22)</f>
        <v/>
      </c>
      <c r="K22" s="11" t="n"/>
      <c r="L22" s="11" t="n"/>
      <c r="M22" s="11" t="n"/>
      <c r="N22" s="12">
        <f>SUM(K22:M22)</f>
        <v/>
      </c>
      <c r="O22" s="12">
        <f>SUM(J22,N22)</f>
        <v/>
      </c>
      <c r="P22" s="12">
        <f>IFERROR(ROUND(((O22)*100)/R22,0),0)</f>
        <v/>
      </c>
      <c r="Q22" s="13">
        <f>IF(P22&gt;=91,"अ-1",IF(P22&gt;=81,"अ-2",IF(P22&gt;=71,"ब-1",IF(P22&gt;=61,"ब-2",IF(P22&gt;=51,"क-1",IF(P22&gt;=41,"क-2",IF(P22&gt;=33,"ड",IF(P22&gt;=21,"इ-1",IF(P22&gt;=1,"इ-2","-")))))))))</f>
        <v/>
      </c>
      <c r="R22" s="36">
        <f>R21</f>
        <v/>
      </c>
      <c r="S22" s="14" t="n"/>
      <c r="T22" s="14" t="n"/>
      <c r="U22" s="14" t="n"/>
      <c r="V22" s="9">
        <f>'[1]विद्यार्थी माहिती'!V23</f>
        <v/>
      </c>
      <c r="W22" s="10" t="n"/>
      <c r="X22" s="11" t="n"/>
      <c r="Y22" s="11" t="n"/>
      <c r="Z22" s="11" t="n"/>
      <c r="AA22" s="11" t="n"/>
      <c r="AB22" s="11" t="n"/>
      <c r="AC22" s="11" t="n"/>
      <c r="AD22" s="11" t="n"/>
      <c r="AE22" s="12">
        <f>SUM(X22:AD22)</f>
        <v/>
      </c>
      <c r="AF22" s="11" t="n"/>
      <c r="AG22" s="11" t="n"/>
      <c r="AH22" s="11" t="n"/>
      <c r="AI22" s="12">
        <f>SUM(AF22:AH22)</f>
        <v/>
      </c>
      <c r="AJ22" s="12">
        <f>SUM(AE22,AI22)</f>
        <v/>
      </c>
      <c r="AK22" s="12">
        <f>IFERROR(ROUND(((AJ22)*100)/AM22,0),0)</f>
        <v/>
      </c>
      <c r="AL22" s="13">
        <f>IF(AK22&gt;=91,"अ-1",IF(AK22&gt;=81,"अ-2",IF(AK22&gt;=71,"ब-1",IF(AK22&gt;=61,"ब-2",IF(AK22&gt;=51,"क-1",IF(AK22&gt;=41,"क-2",IF(AK22&gt;=33,"ड",IF(AK22&gt;=21,"इ-1",IF(AK22&gt;=1,"इ-2","-")))))))))</f>
        <v/>
      </c>
      <c r="AM22" s="36">
        <f>AM21</f>
        <v/>
      </c>
    </row>
    <row r="23" ht="27.75" customHeight="1">
      <c r="A23" s="9">
        <f>'[1]विद्यार्थी माहिती'!A23</f>
        <v/>
      </c>
      <c r="B23" s="10" t="n"/>
      <c r="C23" s="11" t="n"/>
      <c r="D23" s="11" t="n"/>
      <c r="E23" s="11" t="n"/>
      <c r="F23" s="11" t="n"/>
      <c r="G23" s="11" t="n"/>
      <c r="H23" s="11" t="n"/>
      <c r="I23" s="11" t="n"/>
      <c r="J23" s="12">
        <f>SUM(C23:I23)</f>
        <v/>
      </c>
      <c r="K23" s="11" t="n"/>
      <c r="L23" s="11" t="n"/>
      <c r="M23" s="11" t="n"/>
      <c r="N23" s="12">
        <f>SUM(K23:M23)</f>
        <v/>
      </c>
      <c r="O23" s="12">
        <f>SUM(J23,N23)</f>
        <v/>
      </c>
      <c r="P23" s="12">
        <f>IFERROR(ROUND(((O23)*100)/R23,0),0)</f>
        <v/>
      </c>
      <c r="Q23" s="13">
        <f>IF(P23&gt;=91,"अ-1",IF(P23&gt;=81,"अ-2",IF(P23&gt;=71,"ब-1",IF(P23&gt;=61,"ब-2",IF(P23&gt;=51,"क-1",IF(P23&gt;=41,"क-2",IF(P23&gt;=33,"ड",IF(P23&gt;=21,"इ-1",IF(P23&gt;=1,"इ-2","-")))))))))</f>
        <v/>
      </c>
      <c r="R23" s="36">
        <f>R22</f>
        <v/>
      </c>
      <c r="S23" s="14" t="n"/>
      <c r="T23" s="14" t="n"/>
      <c r="U23" s="14" t="n"/>
      <c r="V23" s="9">
        <f>'[1]विद्यार्थी माहिती'!V24</f>
        <v/>
      </c>
      <c r="W23" s="10" t="n"/>
      <c r="X23" s="11" t="n"/>
      <c r="Y23" s="11" t="n"/>
      <c r="Z23" s="11" t="n"/>
      <c r="AA23" s="11" t="n"/>
      <c r="AB23" s="11" t="n"/>
      <c r="AC23" s="11" t="n"/>
      <c r="AD23" s="11" t="n"/>
      <c r="AE23" s="12">
        <f>SUM(X23:AD23)</f>
        <v/>
      </c>
      <c r="AF23" s="11" t="n"/>
      <c r="AG23" s="11" t="n"/>
      <c r="AH23" s="11" t="n"/>
      <c r="AI23" s="12">
        <f>SUM(AF23:AH23)</f>
        <v/>
      </c>
      <c r="AJ23" s="12">
        <f>SUM(AE23,AI23)</f>
        <v/>
      </c>
      <c r="AK23" s="12">
        <f>IFERROR(ROUND(((AJ23)*100)/AM23,0),0)</f>
        <v/>
      </c>
      <c r="AL23" s="13">
        <f>IF(AK23&gt;=91,"अ-1",IF(AK23&gt;=81,"अ-2",IF(AK23&gt;=71,"ब-1",IF(AK23&gt;=61,"ब-2",IF(AK23&gt;=51,"क-1",IF(AK23&gt;=41,"क-2",IF(AK23&gt;=33,"ड",IF(AK23&gt;=21,"इ-1",IF(AK23&gt;=1,"इ-2","-")))))))))</f>
        <v/>
      </c>
      <c r="AM23" s="36">
        <f>AM22</f>
        <v/>
      </c>
    </row>
    <row r="24" ht="27.75" customHeight="1">
      <c r="A24" s="9">
        <f>'[1]विद्यार्थी माहिती'!A24</f>
        <v/>
      </c>
      <c r="B24" s="10" t="n"/>
      <c r="C24" s="11" t="n"/>
      <c r="D24" s="11" t="n"/>
      <c r="E24" s="11" t="n"/>
      <c r="F24" s="11" t="n"/>
      <c r="G24" s="11" t="n"/>
      <c r="H24" s="11" t="n"/>
      <c r="I24" s="11" t="n"/>
      <c r="J24" s="12">
        <f>SUM(C24:I24)</f>
        <v/>
      </c>
      <c r="K24" s="11" t="n"/>
      <c r="L24" s="11" t="n"/>
      <c r="M24" s="11" t="n"/>
      <c r="N24" s="12">
        <f>SUM(K24:M24)</f>
        <v/>
      </c>
      <c r="O24" s="12">
        <f>SUM(J24,N24)</f>
        <v/>
      </c>
      <c r="P24" s="12">
        <f>IFERROR(ROUND(((O24)*100)/R24,0),0)</f>
        <v/>
      </c>
      <c r="Q24" s="13">
        <f>IF(P24&gt;=91,"अ-1",IF(P24&gt;=81,"अ-2",IF(P24&gt;=71,"ब-1",IF(P24&gt;=61,"ब-2",IF(P24&gt;=51,"क-1",IF(P24&gt;=41,"क-2",IF(P24&gt;=33,"ड",IF(P24&gt;=21,"इ-1",IF(P24&gt;=1,"इ-2","-")))))))))</f>
        <v/>
      </c>
      <c r="R24" s="36">
        <f>R23</f>
        <v/>
      </c>
      <c r="S24" s="14" t="n"/>
      <c r="T24" s="14" t="n"/>
      <c r="U24" s="14" t="n"/>
      <c r="V24" s="9">
        <f>'[1]विद्यार्थी माहिती'!V25</f>
        <v/>
      </c>
      <c r="W24" s="10" t="n"/>
      <c r="X24" s="11" t="n"/>
      <c r="Y24" s="11" t="n"/>
      <c r="Z24" s="11" t="n"/>
      <c r="AA24" s="11" t="n"/>
      <c r="AB24" s="11" t="n"/>
      <c r="AC24" s="11" t="n"/>
      <c r="AD24" s="11" t="n"/>
      <c r="AE24" s="12">
        <f>SUM(X24:AD24)</f>
        <v/>
      </c>
      <c r="AF24" s="11" t="n"/>
      <c r="AG24" s="11" t="n"/>
      <c r="AH24" s="11" t="n"/>
      <c r="AI24" s="12">
        <f>SUM(AF24:AH24)</f>
        <v/>
      </c>
      <c r="AJ24" s="12">
        <f>SUM(AE24,AI24)</f>
        <v/>
      </c>
      <c r="AK24" s="12">
        <f>IFERROR(ROUND(((AJ24)*100)/AM24,0),0)</f>
        <v/>
      </c>
      <c r="AL24" s="13">
        <f>IF(AK24&gt;=91,"अ-1",IF(AK24&gt;=81,"अ-2",IF(AK24&gt;=71,"ब-1",IF(AK24&gt;=61,"ब-2",IF(AK24&gt;=51,"क-1",IF(AK24&gt;=41,"क-2",IF(AK24&gt;=33,"ड",IF(AK24&gt;=21,"इ-1",IF(AK24&gt;=1,"इ-2","-")))))))))</f>
        <v/>
      </c>
      <c r="AM24" s="36">
        <f>AM23</f>
        <v/>
      </c>
    </row>
    <row r="25" ht="27.75" customHeight="1">
      <c r="A25" s="9">
        <f>'[1]विद्यार्थी माहिती'!A25</f>
        <v/>
      </c>
      <c r="B25" s="10" t="n"/>
      <c r="C25" s="11" t="n"/>
      <c r="D25" s="11" t="n"/>
      <c r="E25" s="11" t="n"/>
      <c r="F25" s="11" t="n"/>
      <c r="G25" s="11" t="n"/>
      <c r="H25" s="11" t="n"/>
      <c r="I25" s="11" t="n"/>
      <c r="J25" s="12">
        <f>SUM(C25:I25)</f>
        <v/>
      </c>
      <c r="K25" s="11" t="n"/>
      <c r="L25" s="11" t="n"/>
      <c r="M25" s="11" t="n"/>
      <c r="N25" s="12">
        <f>SUM(K25:M25)</f>
        <v/>
      </c>
      <c r="O25" s="12">
        <f>SUM(J25,N25)</f>
        <v/>
      </c>
      <c r="P25" s="12">
        <f>IFERROR(ROUND(((O25)*100)/R25,0),0)</f>
        <v/>
      </c>
      <c r="Q25" s="13">
        <f>IF(P25&gt;=91,"अ-1",IF(P25&gt;=81,"अ-2",IF(P25&gt;=71,"ब-1",IF(P25&gt;=61,"ब-2",IF(P25&gt;=51,"क-1",IF(P25&gt;=41,"क-2",IF(P25&gt;=33,"ड",IF(P25&gt;=21,"इ-1",IF(P25&gt;=1,"इ-2","-")))))))))</f>
        <v/>
      </c>
      <c r="R25" s="36">
        <f>R24</f>
        <v/>
      </c>
      <c r="S25" s="14" t="n"/>
      <c r="T25" s="14" t="n"/>
      <c r="U25" s="14" t="n"/>
      <c r="V25" s="9">
        <f>'[1]विद्यार्थी माहिती'!V26</f>
        <v/>
      </c>
      <c r="W25" s="10" t="n"/>
      <c r="X25" s="11" t="n"/>
      <c r="Y25" s="11" t="n"/>
      <c r="Z25" s="11" t="n"/>
      <c r="AA25" s="11" t="n"/>
      <c r="AB25" s="11" t="n"/>
      <c r="AC25" s="11" t="n"/>
      <c r="AD25" s="11" t="n"/>
      <c r="AE25" s="12">
        <f>SUM(X25:AD25)</f>
        <v/>
      </c>
      <c r="AF25" s="11" t="n"/>
      <c r="AG25" s="11" t="n"/>
      <c r="AH25" s="11" t="n"/>
      <c r="AI25" s="12">
        <f>SUM(AF25:AH25)</f>
        <v/>
      </c>
      <c r="AJ25" s="12">
        <f>SUM(AE25,AI25)</f>
        <v/>
      </c>
      <c r="AK25" s="12">
        <f>IFERROR(ROUND(((AJ25)*100)/AM25,0),0)</f>
        <v/>
      </c>
      <c r="AL25" s="13">
        <f>IF(AK25&gt;=91,"अ-1",IF(AK25&gt;=81,"अ-2",IF(AK25&gt;=71,"ब-1",IF(AK25&gt;=61,"ब-2",IF(AK25&gt;=51,"क-1",IF(AK25&gt;=41,"क-2",IF(AK25&gt;=33,"ड",IF(AK25&gt;=21,"इ-1",IF(AK25&gt;=1,"इ-2","-")))))))))</f>
        <v/>
      </c>
      <c r="AM25" s="36">
        <f>AM24</f>
        <v/>
      </c>
    </row>
    <row r="26" ht="27.75" customHeight="1">
      <c r="A26" s="9">
        <f>'[1]विद्यार्थी माहिती'!A26</f>
        <v/>
      </c>
      <c r="B26" s="10" t="n"/>
      <c r="C26" s="11" t="n"/>
      <c r="D26" s="11" t="n"/>
      <c r="E26" s="11" t="n"/>
      <c r="F26" s="11" t="n"/>
      <c r="G26" s="11" t="n"/>
      <c r="H26" s="11" t="n"/>
      <c r="I26" s="11" t="n"/>
      <c r="J26" s="12">
        <f>SUM(C26:I26)</f>
        <v/>
      </c>
      <c r="K26" s="11" t="n"/>
      <c r="L26" s="11" t="n"/>
      <c r="M26" s="11" t="n"/>
      <c r="N26" s="12">
        <f>SUM(K26:M26)</f>
        <v/>
      </c>
      <c r="O26" s="12">
        <f>SUM(J26,N26)</f>
        <v/>
      </c>
      <c r="P26" s="12">
        <f>IFERROR(ROUND(((O26)*100)/R26,0),0)</f>
        <v/>
      </c>
      <c r="Q26" s="13">
        <f>IF(P26&gt;=91,"अ-1",IF(P26&gt;=81,"अ-2",IF(P26&gt;=71,"ब-1",IF(P26&gt;=61,"ब-2",IF(P26&gt;=51,"क-1",IF(P26&gt;=41,"क-2",IF(P26&gt;=33,"ड",IF(P26&gt;=21,"इ-1",IF(P26&gt;=1,"इ-2","-")))))))))</f>
        <v/>
      </c>
      <c r="R26" s="36">
        <f>R25</f>
        <v/>
      </c>
      <c r="S26" s="14" t="n"/>
      <c r="T26" s="14" t="n"/>
      <c r="U26" s="14" t="n"/>
      <c r="V26" s="9">
        <f>'[1]विद्यार्थी माहिती'!V27</f>
        <v/>
      </c>
      <c r="W26" s="10" t="n"/>
      <c r="X26" s="11" t="n"/>
      <c r="Y26" s="11" t="n"/>
      <c r="Z26" s="11" t="n"/>
      <c r="AA26" s="11" t="n"/>
      <c r="AB26" s="11" t="n"/>
      <c r="AC26" s="11" t="n"/>
      <c r="AD26" s="11" t="n"/>
      <c r="AE26" s="12">
        <f>SUM(X26:AD26)</f>
        <v/>
      </c>
      <c r="AF26" s="11" t="n"/>
      <c r="AG26" s="11" t="n"/>
      <c r="AH26" s="11" t="n"/>
      <c r="AI26" s="12">
        <f>SUM(AF26:AH26)</f>
        <v/>
      </c>
      <c r="AJ26" s="12">
        <f>SUM(AE26,AI26)</f>
        <v/>
      </c>
      <c r="AK26" s="12">
        <f>IFERROR(ROUND(((AJ26)*100)/AM26,0),0)</f>
        <v/>
      </c>
      <c r="AL26" s="13">
        <f>IF(AK26&gt;=91,"अ-1",IF(AK26&gt;=81,"अ-2",IF(AK26&gt;=71,"ब-1",IF(AK26&gt;=61,"ब-2",IF(AK26&gt;=51,"क-1",IF(AK26&gt;=41,"क-2",IF(AK26&gt;=33,"ड",IF(AK26&gt;=21,"इ-1",IF(AK26&gt;=1,"इ-2","-")))))))))</f>
        <v/>
      </c>
      <c r="AM26" s="36">
        <f>AM25</f>
        <v/>
      </c>
    </row>
    <row r="27" ht="27.75" customHeight="1">
      <c r="A27" s="9">
        <f>'[1]विद्यार्थी माहिती'!A27</f>
        <v/>
      </c>
      <c r="B27" s="10" t="n"/>
      <c r="C27" s="11" t="n"/>
      <c r="D27" s="11" t="n"/>
      <c r="E27" s="11" t="n"/>
      <c r="F27" s="11" t="n"/>
      <c r="G27" s="11" t="n"/>
      <c r="H27" s="11" t="n"/>
      <c r="I27" s="11" t="n"/>
      <c r="J27" s="12">
        <f>SUM(C27:I27)</f>
        <v/>
      </c>
      <c r="K27" s="11" t="n"/>
      <c r="L27" s="11" t="n"/>
      <c r="M27" s="11" t="n"/>
      <c r="N27" s="12">
        <f>SUM(K27:M27)</f>
        <v/>
      </c>
      <c r="O27" s="12">
        <f>SUM(J27,N27)</f>
        <v/>
      </c>
      <c r="P27" s="12">
        <f>IFERROR(ROUND(((O27)*100)/R27,0),0)</f>
        <v/>
      </c>
      <c r="Q27" s="13">
        <f>IF(P27&gt;=91,"अ-1",IF(P27&gt;=81,"अ-2",IF(P27&gt;=71,"ब-1",IF(P27&gt;=61,"ब-2",IF(P27&gt;=51,"क-1",IF(P27&gt;=41,"क-2",IF(P27&gt;=33,"ड",IF(P27&gt;=21,"इ-1",IF(P27&gt;=1,"इ-2","-")))))))))</f>
        <v/>
      </c>
      <c r="R27" s="36">
        <f>R26</f>
        <v/>
      </c>
      <c r="S27" s="14" t="n"/>
      <c r="T27" s="14" t="n"/>
      <c r="U27" s="14" t="n"/>
      <c r="V27" s="9">
        <f>'[1]विद्यार्थी माहिती'!V28</f>
        <v/>
      </c>
      <c r="W27" s="10" t="n"/>
      <c r="X27" s="11" t="n"/>
      <c r="Y27" s="11" t="n"/>
      <c r="Z27" s="11" t="n"/>
      <c r="AA27" s="11" t="n"/>
      <c r="AB27" s="11" t="n"/>
      <c r="AC27" s="11" t="n"/>
      <c r="AD27" s="11" t="n"/>
      <c r="AE27" s="12">
        <f>SUM(X27:AD27)</f>
        <v/>
      </c>
      <c r="AF27" s="11" t="n"/>
      <c r="AG27" s="11" t="n"/>
      <c r="AH27" s="11" t="n"/>
      <c r="AI27" s="12">
        <f>SUM(AF27:AH27)</f>
        <v/>
      </c>
      <c r="AJ27" s="12">
        <f>SUM(AE27,AI27)</f>
        <v/>
      </c>
      <c r="AK27" s="12">
        <f>IFERROR(ROUND(((AJ27)*100)/AM27,0),0)</f>
        <v/>
      </c>
      <c r="AL27" s="13">
        <f>IF(AK27&gt;=91,"अ-1",IF(AK27&gt;=81,"अ-2",IF(AK27&gt;=71,"ब-1",IF(AK27&gt;=61,"ब-2",IF(AK27&gt;=51,"क-1",IF(AK27&gt;=41,"क-2",IF(AK27&gt;=33,"ड",IF(AK27&gt;=21,"इ-1",IF(AK27&gt;=1,"इ-2","-")))))))))</f>
        <v/>
      </c>
      <c r="AM27" s="36">
        <f>AM26</f>
        <v/>
      </c>
    </row>
    <row r="28" ht="27.75" customHeight="1">
      <c r="A28" s="9">
        <f>'[1]विद्यार्थी माहिती'!A28</f>
        <v/>
      </c>
      <c r="B28" s="10" t="n"/>
      <c r="C28" s="11" t="n"/>
      <c r="D28" s="11" t="n"/>
      <c r="E28" s="11" t="n"/>
      <c r="F28" s="11" t="n"/>
      <c r="G28" s="11" t="n"/>
      <c r="H28" s="11" t="n"/>
      <c r="I28" s="11" t="n"/>
      <c r="J28" s="12">
        <f>SUM(C28:I28)</f>
        <v/>
      </c>
      <c r="K28" s="11" t="n"/>
      <c r="L28" s="11" t="n"/>
      <c r="M28" s="11" t="n"/>
      <c r="N28" s="12">
        <f>SUM(K28:M28)</f>
        <v/>
      </c>
      <c r="O28" s="12">
        <f>SUM(J28,N28)</f>
        <v/>
      </c>
      <c r="P28" s="12">
        <f>IFERROR(ROUND(((O28)*100)/R28,0),0)</f>
        <v/>
      </c>
      <c r="Q28" s="13">
        <f>IF(P28&gt;=91,"अ-1",IF(P28&gt;=81,"अ-2",IF(P28&gt;=71,"ब-1",IF(P28&gt;=61,"ब-2",IF(P28&gt;=51,"क-1",IF(P28&gt;=41,"क-2",IF(P28&gt;=33,"ड",IF(P28&gt;=21,"इ-1",IF(P28&gt;=1,"इ-2","-")))))))))</f>
        <v/>
      </c>
      <c r="R28" s="36">
        <f>R27</f>
        <v/>
      </c>
      <c r="S28" s="14" t="n"/>
      <c r="T28" s="14" t="n"/>
      <c r="U28" s="14" t="n"/>
      <c r="V28" s="9">
        <f>'[1]विद्यार्थी माहिती'!V29</f>
        <v/>
      </c>
      <c r="W28" s="10" t="n"/>
      <c r="X28" s="11" t="n"/>
      <c r="Y28" s="11" t="n"/>
      <c r="Z28" s="11" t="n"/>
      <c r="AA28" s="11" t="n"/>
      <c r="AB28" s="11" t="n"/>
      <c r="AC28" s="11" t="n"/>
      <c r="AD28" s="11" t="n"/>
      <c r="AE28" s="12">
        <f>SUM(X28:AD28)</f>
        <v/>
      </c>
      <c r="AF28" s="11" t="n"/>
      <c r="AG28" s="11" t="n"/>
      <c r="AH28" s="11" t="n"/>
      <c r="AI28" s="12">
        <f>SUM(AF28:AH28)</f>
        <v/>
      </c>
      <c r="AJ28" s="12">
        <f>SUM(AE28,AI28)</f>
        <v/>
      </c>
      <c r="AK28" s="12">
        <f>IFERROR(ROUND(((AJ28)*100)/AM28,0),0)</f>
        <v/>
      </c>
      <c r="AL28" s="13">
        <f>IF(AK28&gt;=91,"अ-1",IF(AK28&gt;=81,"अ-2",IF(AK28&gt;=71,"ब-1",IF(AK28&gt;=61,"ब-2",IF(AK28&gt;=51,"क-1",IF(AK28&gt;=41,"क-2",IF(AK28&gt;=33,"ड",IF(AK28&gt;=21,"इ-1",IF(AK28&gt;=1,"इ-2","-")))))))))</f>
        <v/>
      </c>
      <c r="AM28" s="36">
        <f>AM27</f>
        <v/>
      </c>
    </row>
    <row r="29" ht="27.75" customHeight="1">
      <c r="A29" s="9">
        <f>'[1]विद्यार्थी माहिती'!A29</f>
        <v/>
      </c>
      <c r="B29" s="10" t="n"/>
      <c r="C29" s="11" t="n"/>
      <c r="D29" s="11" t="n"/>
      <c r="E29" s="11" t="n"/>
      <c r="F29" s="11" t="n"/>
      <c r="G29" s="11" t="n"/>
      <c r="H29" s="11" t="n"/>
      <c r="I29" s="11" t="n"/>
      <c r="J29" s="12">
        <f>SUM(C29:I29)</f>
        <v/>
      </c>
      <c r="K29" s="11" t="n"/>
      <c r="L29" s="11" t="n"/>
      <c r="M29" s="11" t="n"/>
      <c r="N29" s="12">
        <f>SUM(K29:M29)</f>
        <v/>
      </c>
      <c r="O29" s="12">
        <f>SUM(J29,N29)</f>
        <v/>
      </c>
      <c r="P29" s="12">
        <f>IFERROR(ROUND(((O29)*100)/R29,0),0)</f>
        <v/>
      </c>
      <c r="Q29" s="13">
        <f>IF(P29&gt;=91,"अ-1",IF(P29&gt;=81,"अ-2",IF(P29&gt;=71,"ब-1",IF(P29&gt;=61,"ब-2",IF(P29&gt;=51,"क-1",IF(P29&gt;=41,"क-2",IF(P29&gt;=33,"ड",IF(P29&gt;=21,"इ-1",IF(P29&gt;=1,"इ-2","-")))))))))</f>
        <v/>
      </c>
      <c r="R29" s="36">
        <f>R28</f>
        <v/>
      </c>
      <c r="S29" s="14" t="n"/>
      <c r="T29" s="14" t="n"/>
      <c r="U29" s="14" t="n"/>
      <c r="V29" s="9">
        <f>'[1]विद्यार्थी माहिती'!V30</f>
        <v/>
      </c>
      <c r="W29" s="10" t="n"/>
      <c r="X29" s="11" t="n"/>
      <c r="Y29" s="11" t="n"/>
      <c r="Z29" s="11" t="n"/>
      <c r="AA29" s="11" t="n"/>
      <c r="AB29" s="11" t="n"/>
      <c r="AC29" s="11" t="n"/>
      <c r="AD29" s="11" t="n"/>
      <c r="AE29" s="12">
        <f>SUM(X29:AD29)</f>
        <v/>
      </c>
      <c r="AF29" s="11" t="n"/>
      <c r="AG29" s="11" t="n"/>
      <c r="AH29" s="11" t="n"/>
      <c r="AI29" s="12">
        <f>SUM(AF29:AH29)</f>
        <v/>
      </c>
      <c r="AJ29" s="12">
        <f>SUM(AE29,AI29)</f>
        <v/>
      </c>
      <c r="AK29" s="12">
        <f>IFERROR(ROUND(((AJ29)*100)/AM29,0),0)</f>
        <v/>
      </c>
      <c r="AL29" s="13">
        <f>IF(AK29&gt;=91,"अ-1",IF(AK29&gt;=81,"अ-2",IF(AK29&gt;=71,"ब-1",IF(AK29&gt;=61,"ब-2",IF(AK29&gt;=51,"क-1",IF(AK29&gt;=41,"क-2",IF(AK29&gt;=33,"ड",IF(AK29&gt;=21,"इ-1",IF(AK29&gt;=1,"इ-2","-")))))))))</f>
        <v/>
      </c>
      <c r="AM29" s="36">
        <f>AM28</f>
        <v/>
      </c>
    </row>
    <row r="30" ht="27.75" customHeight="1">
      <c r="A30" s="40" t="n"/>
      <c r="B30" s="41" t="n"/>
      <c r="C30" s="41" t="n"/>
      <c r="D30" s="41" t="n"/>
      <c r="E30" s="41" t="n"/>
      <c r="F30" s="41" t="n"/>
      <c r="G30" s="41" t="n"/>
      <c r="H30" s="41" t="n"/>
      <c r="I30" s="41" t="n"/>
      <c r="J30" s="41" t="n"/>
      <c r="K30" s="41" t="n"/>
      <c r="L30" s="41" t="n"/>
      <c r="M30" s="41" t="n"/>
      <c r="N30" s="41" t="n"/>
      <c r="O30" s="41" t="n"/>
      <c r="P30" s="41" t="n"/>
      <c r="Q30" s="41" t="n"/>
      <c r="R30" s="36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</row>
    <row r="31" ht="27.75" customHeight="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36" t="n"/>
      <c r="S31" s="2" t="n"/>
      <c r="T31" s="2" t="n"/>
      <c r="U31" s="2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</row>
    <row r="32" ht="27.75" customHeight="1">
      <c r="A32" s="43" t="n"/>
      <c r="C32" s="36" t="n"/>
      <c r="D32" s="36" t="n"/>
      <c r="E32" s="36" t="n"/>
      <c r="F32" s="36" t="n"/>
      <c r="G32" s="36" t="n"/>
      <c r="H32" s="36" t="n"/>
      <c r="I32" s="36" t="n"/>
      <c r="J32" s="43" t="inlineStr">
        <is>
          <t xml:space="preserve">श्री. नागरगोजे उद्धव प्रल्हाद </t>
        </is>
      </c>
      <c r="R32" s="36" t="n"/>
      <c r="S32" s="2" t="n"/>
      <c r="T32" s="2" t="n"/>
      <c r="U32" s="2" t="n"/>
      <c r="V32" s="43" t="n"/>
      <c r="X32" s="36" t="n"/>
      <c r="Y32" s="36" t="n"/>
      <c r="Z32" s="36" t="n"/>
      <c r="AA32" s="36" t="n"/>
      <c r="AB32" s="36" t="n"/>
      <c r="AC32" s="36" t="n"/>
      <c r="AD32" s="36" t="n"/>
      <c r="AE32" s="43" t="inlineStr">
        <is>
          <t xml:space="preserve">श्री. नागरगोजे उद्धव प्रल्हाद </t>
        </is>
      </c>
    </row>
    <row r="33" ht="27.75" customHeight="1">
      <c r="A33" s="17" t="inlineStr">
        <is>
          <t>वर्ग शिक्षक</t>
        </is>
      </c>
      <c r="C33" s="36" t="n"/>
      <c r="D33" s="36" t="n"/>
      <c r="E33" s="36" t="n"/>
      <c r="F33" s="36" t="n"/>
      <c r="G33" s="36" t="n"/>
      <c r="H33" s="36" t="n"/>
      <c r="I33" s="36" t="n"/>
      <c r="J33" s="17" t="inlineStr">
        <is>
          <t>मुख्याध्यापक</t>
        </is>
      </c>
      <c r="R33" s="36" t="n"/>
      <c r="S33" s="2" t="n"/>
      <c r="T33" s="2" t="n"/>
      <c r="U33" s="2" t="n"/>
      <c r="V33" s="17" t="inlineStr">
        <is>
          <t>वर्ग शिक्षक</t>
        </is>
      </c>
      <c r="X33" s="36" t="n"/>
      <c r="Y33" s="36" t="n"/>
      <c r="Z33" s="36" t="n"/>
      <c r="AA33" s="36" t="n"/>
      <c r="AB33" s="36" t="n"/>
      <c r="AC33" s="36" t="n"/>
      <c r="AD33" s="36" t="n"/>
      <c r="AE33" s="17" t="inlineStr">
        <is>
          <t>मुख्याध्यापक</t>
        </is>
      </c>
    </row>
    <row r="34" ht="27.75" customHeight="1">
      <c r="A34" s="42" t="n"/>
      <c r="R34" s="36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</row>
    <row r="35" ht="27.75" customHeight="1">
      <c r="A35" s="36" t="n"/>
      <c r="B35" s="1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</row>
    <row r="36" ht="27.75" customHeight="1">
      <c r="A36" s="36" t="n"/>
      <c r="B36" s="1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</row>
    <row r="37" ht="27.75" customHeight="1">
      <c r="A37" s="36" t="n"/>
      <c r="B37" s="1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</row>
    <row r="38" ht="27.75" customHeight="1">
      <c r="A38" s="36" t="n"/>
      <c r="B38" s="1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</row>
    <row r="39" ht="27.75" customHeight="1">
      <c r="A39" s="36" t="n"/>
      <c r="B39" s="1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</row>
    <row r="40" ht="27.75" customHeight="1">
      <c r="A40" s="36" t="n"/>
      <c r="B40" s="1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</row>
    <row r="41" ht="27.75" customHeight="1">
      <c r="A41" s="36" t="n"/>
      <c r="B41" s="1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</row>
    <row r="42" ht="27.75" customHeight="1">
      <c r="A42" s="36" t="n"/>
      <c r="B42" s="1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</row>
    <row r="43" ht="27.75" customHeight="1">
      <c r="A43" s="36" t="n"/>
      <c r="B43" s="1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</row>
    <row r="44" ht="27.75" customHeight="1">
      <c r="A44" s="36" t="n"/>
      <c r="B44" s="1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</row>
    <row r="45" ht="27.75" customHeight="1">
      <c r="A45" s="36" t="n"/>
      <c r="B45" s="1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</row>
    <row r="46" ht="27.75" customHeight="1">
      <c r="A46" s="36" t="n"/>
      <c r="B46" s="1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</row>
    <row r="47" ht="27.75" customHeight="1">
      <c r="A47" s="36" t="n"/>
      <c r="B47" s="1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</row>
    <row r="48" ht="27.75" customHeight="1">
      <c r="A48" s="36" t="n"/>
      <c r="B48" s="1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</row>
    <row r="49" ht="27.75" customHeight="1">
      <c r="A49" s="36" t="n"/>
      <c r="B49" s="1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</row>
    <row r="50" ht="27.75" customHeight="1">
      <c r="A50" s="36" t="n"/>
      <c r="B50" s="1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</row>
    <row r="51" ht="27.75" customHeight="1">
      <c r="A51" s="36" t="n"/>
      <c r="B51" s="1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</row>
    <row r="52" ht="27.75" customHeight="1">
      <c r="A52" s="36" t="n"/>
      <c r="B52" s="1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</row>
    <row r="53" ht="27.75" customHeight="1">
      <c r="A53" s="36" t="n"/>
      <c r="B53" s="1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</row>
    <row r="54" ht="27.75" customHeight="1">
      <c r="A54" s="36" t="n"/>
      <c r="B54" s="1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</row>
    <row r="55" ht="27.75" customHeight="1">
      <c r="A55" s="36" t="n"/>
      <c r="B55" s="1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</row>
    <row r="56" ht="27.75" customHeight="1">
      <c r="A56" s="36" t="n"/>
      <c r="B56" s="1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</row>
    <row r="57" ht="27.75" customHeight="1">
      <c r="A57" s="36" t="n"/>
      <c r="B57" s="1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</row>
    <row r="58" ht="27.75" customHeight="1">
      <c r="A58" s="36" t="n"/>
      <c r="B58" s="1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</row>
    <row r="59" ht="27.75" customHeight="1">
      <c r="A59" s="36" t="n"/>
      <c r="B59" s="1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</row>
    <row r="60" ht="27.75" customHeight="1">
      <c r="A60" s="36" t="n"/>
      <c r="B60" s="1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</row>
    <row r="61" ht="27.75" customHeight="1">
      <c r="A61" s="36" t="n"/>
      <c r="B61" s="1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</row>
    <row r="62" ht="27.75" customHeight="1">
      <c r="A62" s="36" t="n"/>
      <c r="B62" s="1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</row>
    <row r="63" ht="27.75" customHeight="1">
      <c r="A63" s="36" t="n"/>
      <c r="B63" s="1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</row>
    <row r="64" ht="27.75" customHeight="1">
      <c r="A64" s="36" t="n"/>
      <c r="B64" s="1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</row>
    <row r="65" ht="27.75" customHeight="1">
      <c r="A65" s="36" t="n"/>
      <c r="B65" s="1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</row>
    <row r="66" ht="27.75" customHeight="1">
      <c r="A66" s="36" t="n"/>
      <c r="B66" s="1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</row>
    <row r="67" ht="27.75" customHeight="1">
      <c r="A67" s="36" t="n"/>
      <c r="B67" s="1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</row>
    <row r="68" ht="27.75" customHeight="1">
      <c r="A68" s="36" t="n"/>
      <c r="B68" s="1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</row>
    <row r="69" ht="27.75" customHeight="1">
      <c r="A69" s="36" t="n"/>
      <c r="B69" s="1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</row>
    <row r="70" ht="27.75" customHeight="1">
      <c r="A70" s="36" t="n"/>
      <c r="B70" s="1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</row>
    <row r="71" ht="27.75" customHeight="1">
      <c r="A71" s="36" t="n"/>
      <c r="B71" s="1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</row>
    <row r="72" ht="27.75" customHeight="1">
      <c r="A72" s="36" t="n"/>
      <c r="B72" s="1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</row>
    <row r="73" ht="27.75" customHeight="1">
      <c r="A73" s="36" t="n"/>
      <c r="B73" s="1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</row>
    <row r="74" ht="27.75" customHeight="1">
      <c r="A74" s="36" t="n"/>
      <c r="B74" s="1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</row>
    <row r="75" ht="27.75" customHeight="1">
      <c r="A75" s="36" t="n"/>
      <c r="B75" s="1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</row>
    <row r="76" ht="27.75" customHeight="1">
      <c r="A76" s="36" t="n"/>
      <c r="B76" s="1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</row>
    <row r="77" ht="27.75" customHeight="1">
      <c r="A77" s="36" t="n"/>
      <c r="B77" s="1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</row>
    <row r="78" ht="27.75" customHeight="1">
      <c r="A78" s="36" t="n"/>
      <c r="B78" s="1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</row>
    <row r="79" ht="27.75" customHeight="1">
      <c r="A79" s="36" t="n"/>
      <c r="B79" s="1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</row>
    <row r="80" ht="27.75" customHeight="1">
      <c r="A80" s="36" t="n"/>
      <c r="B80" s="1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</row>
    <row r="81" ht="27.75" customHeight="1">
      <c r="A81" s="36" t="n"/>
      <c r="B81" s="1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</row>
    <row r="82" ht="27.75" customHeight="1">
      <c r="A82" s="36" t="n"/>
      <c r="B82" s="1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</row>
    <row r="83" ht="27.75" customHeight="1">
      <c r="A83" s="36" t="n"/>
      <c r="B83" s="1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</row>
    <row r="84" ht="27.75" customHeight="1">
      <c r="A84" s="36" t="n"/>
      <c r="B84" s="1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</row>
    <row r="85" ht="27.75" customHeight="1">
      <c r="A85" s="36" t="n"/>
      <c r="B85" s="1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</row>
    <row r="86" ht="27.75" customHeight="1">
      <c r="A86" s="36" t="n"/>
      <c r="B86" s="1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</row>
    <row r="87" ht="27.75" customHeight="1">
      <c r="A87" s="36" t="n"/>
      <c r="B87" s="1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</row>
    <row r="88" ht="27.75" customHeight="1">
      <c r="A88" s="36" t="n"/>
      <c r="B88" s="1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</row>
    <row r="89" ht="27.75" customHeight="1">
      <c r="A89" s="36" t="n"/>
      <c r="B89" s="1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</row>
    <row r="90" ht="27.75" customHeight="1">
      <c r="A90" s="36" t="n"/>
      <c r="B90" s="1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</row>
    <row r="91" ht="27.75" customHeight="1">
      <c r="A91" s="36" t="n"/>
      <c r="B91" s="1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</row>
    <row r="92" ht="27.75" customHeight="1">
      <c r="A92" s="36" t="n"/>
      <c r="B92" s="1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</row>
    <row r="93" ht="27.75" customHeight="1">
      <c r="A93" s="36" t="n"/>
      <c r="B93" s="1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</row>
    <row r="94" ht="27.75" customHeight="1">
      <c r="A94" s="36" t="n"/>
      <c r="B94" s="1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</row>
    <row r="95" ht="27.75" customHeight="1">
      <c r="A95" s="36" t="n"/>
      <c r="B95" s="1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</row>
    <row r="96" ht="27.75" customHeight="1">
      <c r="A96" s="36" t="n"/>
      <c r="B96" s="1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</row>
    <row r="97" ht="27.75" customHeight="1">
      <c r="A97" s="36" t="n"/>
      <c r="B97" s="1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</row>
    <row r="98" ht="27.75" customHeight="1">
      <c r="A98" s="36" t="n"/>
      <c r="B98" s="1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</row>
    <row r="99" ht="27.75" customHeight="1">
      <c r="A99" s="36" t="n"/>
      <c r="B99" s="1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</row>
    <row r="100" ht="27.75" customHeight="1">
      <c r="A100" s="36" t="n"/>
      <c r="B100" s="1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</row>
    <row r="101" ht="27.75" customHeight="1">
      <c r="A101" s="36" t="n"/>
      <c r="B101" s="1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</row>
    <row r="102" ht="27.75" customHeight="1">
      <c r="A102" s="36" t="n"/>
      <c r="B102" s="1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</row>
    <row r="103" ht="27.75" customHeight="1">
      <c r="A103" s="36" t="n"/>
      <c r="B103" s="1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</row>
    <row r="104" ht="27.75" customHeight="1">
      <c r="A104" s="36" t="n"/>
      <c r="B104" s="1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</row>
    <row r="105" ht="27.75" customHeight="1">
      <c r="A105" s="36" t="n"/>
      <c r="B105" s="1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</row>
    <row r="106" ht="27.75" customHeight="1">
      <c r="A106" s="36" t="n"/>
      <c r="B106" s="1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</row>
    <row r="107" ht="27.75" customHeight="1">
      <c r="A107" s="36" t="n"/>
      <c r="B107" s="1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</row>
    <row r="108" ht="27.75" customHeight="1">
      <c r="A108" s="36" t="n"/>
      <c r="B108" s="1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</row>
    <row r="109" ht="27.75" customHeight="1">
      <c r="A109" s="36" t="n"/>
      <c r="B109" s="1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</row>
    <row r="110" ht="27.75" customHeight="1">
      <c r="A110" s="36" t="n"/>
      <c r="B110" s="1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</row>
    <row r="111" ht="27.75" customHeight="1">
      <c r="A111" s="36" t="n"/>
      <c r="B111" s="1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</row>
    <row r="112" ht="27.75" customHeight="1">
      <c r="A112" s="36" t="n"/>
      <c r="B112" s="1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</row>
    <row r="113" ht="27.75" customHeight="1">
      <c r="A113" s="36" t="n"/>
      <c r="B113" s="1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</row>
    <row r="114" ht="27.75" customHeight="1">
      <c r="A114" s="36" t="n"/>
      <c r="B114" s="1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</row>
    <row r="115" ht="27.75" customHeight="1">
      <c r="A115" s="36" t="n"/>
      <c r="B115" s="1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</row>
    <row r="116" ht="27.75" customHeight="1">
      <c r="A116" s="36" t="n"/>
      <c r="B116" s="1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</row>
    <row r="117" ht="27.75" customHeight="1">
      <c r="A117" s="36" t="n"/>
      <c r="B117" s="1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</row>
    <row r="118" ht="27.75" customHeight="1">
      <c r="A118" s="36" t="n"/>
      <c r="B118" s="1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</row>
    <row r="119" ht="27.75" customHeight="1">
      <c r="A119" s="36" t="n"/>
      <c r="B119" s="1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</row>
    <row r="120" ht="27.75" customHeight="1">
      <c r="A120" s="36" t="n"/>
      <c r="B120" s="1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</row>
    <row r="121" ht="27.75" customHeight="1">
      <c r="A121" s="36" t="n"/>
      <c r="B121" s="1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</row>
    <row r="122" ht="27.75" customHeight="1">
      <c r="A122" s="36" t="n"/>
      <c r="B122" s="1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</row>
    <row r="123" ht="27.75" customHeight="1">
      <c r="A123" s="36" t="n"/>
      <c r="B123" s="1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</row>
    <row r="124" ht="27.75" customHeight="1">
      <c r="A124" s="36" t="n"/>
      <c r="B124" s="1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</row>
    <row r="125" ht="27.75" customHeight="1">
      <c r="A125" s="36" t="n"/>
      <c r="B125" s="1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</row>
    <row r="126" ht="27.75" customHeight="1">
      <c r="A126" s="36" t="n"/>
      <c r="B126" s="1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</row>
    <row r="127" ht="27.75" customHeight="1">
      <c r="A127" s="36" t="n"/>
      <c r="B127" s="1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</row>
    <row r="128" ht="27.75" customHeight="1">
      <c r="A128" s="36" t="n"/>
      <c r="B128" s="1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</row>
    <row r="129" ht="27.75" customHeight="1">
      <c r="A129" s="36" t="n"/>
      <c r="B129" s="1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</row>
    <row r="130" ht="27.75" customHeight="1">
      <c r="A130" s="36" t="n"/>
      <c r="B130" s="1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</row>
    <row r="131" ht="27.75" customHeight="1">
      <c r="A131" s="36" t="n"/>
      <c r="B131" s="1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</row>
    <row r="132" ht="27.75" customHeight="1">
      <c r="A132" s="36" t="n"/>
      <c r="B132" s="1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</row>
    <row r="133" ht="27.75" customHeight="1">
      <c r="A133" s="36" t="n"/>
      <c r="B133" s="1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</row>
    <row r="134" ht="27.75" customHeight="1">
      <c r="A134" s="36" t="n"/>
      <c r="B134" s="1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</row>
    <row r="135" ht="27.75" customHeight="1">
      <c r="A135" s="36" t="n"/>
      <c r="B135" s="1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</row>
    <row r="136" ht="27.75" customHeight="1">
      <c r="A136" s="36" t="n"/>
      <c r="B136" s="1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</row>
    <row r="137" ht="27.75" customHeight="1">
      <c r="A137" s="36" t="n"/>
      <c r="B137" s="1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</row>
    <row r="138" ht="27.75" customHeight="1">
      <c r="A138" s="36" t="n"/>
      <c r="B138" s="1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</row>
    <row r="139" ht="27.75" customHeight="1">
      <c r="A139" s="36" t="n"/>
      <c r="B139" s="1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</row>
    <row r="140" ht="27.75" customHeight="1">
      <c r="A140" s="36" t="n"/>
      <c r="B140" s="1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</row>
    <row r="141" ht="27.75" customHeight="1">
      <c r="A141" s="36" t="n"/>
      <c r="B141" s="1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</row>
    <row r="142" ht="27.75" customHeight="1">
      <c r="A142" s="36" t="n"/>
      <c r="B142" s="1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</row>
    <row r="143" ht="27.75" customHeight="1">
      <c r="A143" s="36" t="n"/>
      <c r="B143" s="1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</row>
    <row r="144" ht="27.75" customHeight="1">
      <c r="A144" s="36" t="n"/>
      <c r="B144" s="1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</row>
    <row r="145" ht="27.75" customHeight="1">
      <c r="A145" s="36" t="n"/>
      <c r="B145" s="1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</row>
    <row r="146" ht="27.75" customHeight="1">
      <c r="A146" s="36" t="n"/>
      <c r="B146" s="1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</row>
    <row r="147" ht="27.75" customHeight="1">
      <c r="A147" s="36" t="n"/>
      <c r="B147" s="1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</row>
    <row r="148" ht="27.75" customHeight="1">
      <c r="A148" s="36" t="n"/>
      <c r="B148" s="1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</row>
    <row r="149" ht="27.75" customHeight="1">
      <c r="A149" s="36" t="n"/>
      <c r="B149" s="1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</row>
    <row r="150" ht="27.75" customHeight="1">
      <c r="A150" s="36" t="n"/>
      <c r="B150" s="1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</row>
    <row r="151" ht="27.75" customHeight="1">
      <c r="A151" s="36" t="n"/>
      <c r="B151" s="1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</row>
    <row r="152" ht="27.75" customHeight="1">
      <c r="A152" s="36" t="n"/>
      <c r="B152" s="1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</row>
    <row r="153" ht="27.75" customHeight="1">
      <c r="A153" s="36" t="n"/>
      <c r="B153" s="1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</row>
    <row r="154" ht="27.75" customHeight="1">
      <c r="A154" s="36" t="n"/>
      <c r="B154" s="1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</row>
    <row r="155" ht="27.75" customHeight="1">
      <c r="A155" s="36" t="n"/>
      <c r="B155" s="1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</row>
    <row r="156" ht="27.75" customHeight="1">
      <c r="A156" s="36" t="n"/>
      <c r="B156" s="1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</row>
    <row r="157" ht="27.75" customHeight="1">
      <c r="A157" s="36" t="n"/>
      <c r="B157" s="1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</row>
    <row r="158" ht="27.75" customHeight="1">
      <c r="A158" s="36" t="n"/>
      <c r="B158" s="1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</row>
    <row r="159" ht="27.75" customHeight="1">
      <c r="A159" s="36" t="n"/>
      <c r="B159" s="1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</row>
    <row r="160" ht="27.75" customHeight="1">
      <c r="A160" s="36" t="n"/>
      <c r="B160" s="1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</row>
    <row r="161" ht="27.75" customHeight="1">
      <c r="A161" s="36" t="n"/>
      <c r="B161" s="1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</row>
    <row r="162" ht="27.75" customHeight="1">
      <c r="A162" s="36" t="n"/>
      <c r="B162" s="1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</row>
    <row r="163" ht="27.75" customHeight="1">
      <c r="A163" s="36" t="n"/>
      <c r="B163" s="1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</row>
    <row r="164" ht="27.75" customHeight="1">
      <c r="A164" s="36" t="n"/>
      <c r="B164" s="1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</row>
    <row r="165" ht="27.75" customHeight="1">
      <c r="A165" s="36" t="n"/>
      <c r="B165" s="1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</row>
    <row r="166" ht="27.75" customHeight="1">
      <c r="A166" s="36" t="n"/>
      <c r="B166" s="1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</row>
    <row r="167" ht="27.75" customHeight="1">
      <c r="A167" s="36" t="n"/>
      <c r="B167" s="1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</row>
    <row r="168" ht="27.75" customHeight="1">
      <c r="A168" s="36" t="n"/>
      <c r="B168" s="1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</row>
    <row r="169" ht="27.75" customHeight="1">
      <c r="A169" s="36" t="n"/>
      <c r="B169" s="1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</row>
    <row r="170" ht="27.75" customHeight="1">
      <c r="A170" s="36" t="n"/>
      <c r="B170" s="1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</row>
    <row r="171" ht="27.75" customHeight="1">
      <c r="A171" s="36" t="n"/>
      <c r="B171" s="1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</row>
    <row r="172" ht="27.75" customHeight="1">
      <c r="A172" s="36" t="n"/>
      <c r="B172" s="1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</row>
    <row r="173" ht="27.75" customHeight="1">
      <c r="A173" s="36" t="n"/>
      <c r="B173" s="1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</row>
    <row r="174" ht="27.75" customHeight="1">
      <c r="A174" s="36" t="n"/>
      <c r="B174" s="1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</row>
    <row r="175" ht="27.75" customHeight="1">
      <c r="A175" s="36" t="n"/>
      <c r="B175" s="1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</row>
    <row r="176" ht="27.75" customHeight="1">
      <c r="A176" s="36" t="n"/>
      <c r="B176" s="1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</row>
    <row r="177" ht="27.75" customHeight="1">
      <c r="A177" s="36" t="n"/>
      <c r="B177" s="1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</row>
    <row r="178" ht="27.75" customHeight="1">
      <c r="A178" s="36" t="n"/>
      <c r="B178" s="1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</row>
    <row r="179" ht="27.75" customHeight="1">
      <c r="A179" s="36" t="n"/>
      <c r="B179" s="1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</row>
    <row r="180" ht="27.75" customHeight="1">
      <c r="A180" s="36" t="n"/>
      <c r="B180" s="1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</row>
    <row r="181" ht="27.75" customHeight="1">
      <c r="A181" s="36" t="n"/>
      <c r="B181" s="1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</row>
    <row r="182" ht="27.75" customHeight="1">
      <c r="A182" s="36" t="n"/>
      <c r="B182" s="1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</row>
    <row r="183" ht="27.75" customHeight="1">
      <c r="A183" s="36" t="n"/>
      <c r="B183" s="1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</row>
    <row r="184" ht="27.75" customHeight="1">
      <c r="A184" s="36" t="n"/>
      <c r="B184" s="1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</row>
    <row r="185" ht="27.75" customHeight="1">
      <c r="A185" s="36" t="n"/>
      <c r="B185" s="1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</row>
    <row r="186" ht="27.75" customHeight="1">
      <c r="A186" s="36" t="n"/>
      <c r="B186" s="1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</row>
    <row r="187" ht="27.75" customHeight="1">
      <c r="A187" s="36" t="n"/>
      <c r="B187" s="1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</row>
    <row r="188" ht="27.75" customHeight="1">
      <c r="A188" s="36" t="n"/>
      <c r="B188" s="1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</row>
    <row r="189" ht="27.75" customHeight="1">
      <c r="A189" s="36" t="n"/>
      <c r="B189" s="1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</row>
    <row r="190" ht="27.75" customHeight="1">
      <c r="A190" s="36" t="n"/>
      <c r="B190" s="1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</row>
    <row r="191" ht="27.75" customHeight="1">
      <c r="A191" s="36" t="n"/>
      <c r="B191" s="1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</row>
    <row r="192" ht="27.75" customHeight="1">
      <c r="A192" s="36" t="n"/>
      <c r="B192" s="1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</row>
    <row r="193" ht="27.75" customHeight="1">
      <c r="A193" s="36" t="n"/>
      <c r="B193" s="1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</row>
    <row r="194" ht="27.75" customHeight="1">
      <c r="A194" s="36" t="n"/>
      <c r="B194" s="1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</row>
    <row r="195" ht="27.75" customHeight="1">
      <c r="A195" s="36" t="n"/>
      <c r="B195" s="1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</row>
    <row r="196" ht="27.75" customHeight="1">
      <c r="A196" s="36" t="n"/>
      <c r="B196" s="1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</row>
    <row r="197" ht="27.75" customHeight="1">
      <c r="A197" s="36" t="n"/>
      <c r="B197" s="1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</row>
    <row r="198" ht="27.75" customHeight="1">
      <c r="A198" s="36" t="n"/>
      <c r="B198" s="1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</row>
    <row r="199" ht="27.75" customHeight="1">
      <c r="A199" s="36" t="n"/>
      <c r="B199" s="1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</row>
    <row r="200" ht="27.75" customHeight="1">
      <c r="A200" s="36" t="n"/>
      <c r="B200" s="1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</row>
    <row r="201" ht="27.75" customHeight="1">
      <c r="A201" s="36" t="n"/>
      <c r="B201" s="1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</row>
    <row r="202" ht="27.75" customHeight="1">
      <c r="A202" s="36" t="n"/>
      <c r="B202" s="1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</row>
    <row r="203" ht="27.75" customHeight="1">
      <c r="A203" s="36" t="n"/>
      <c r="B203" s="1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</row>
    <row r="204" ht="27.75" customHeight="1">
      <c r="A204" s="36" t="n"/>
      <c r="B204" s="1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</row>
    <row r="205" ht="27.75" customHeight="1">
      <c r="A205" s="36" t="n"/>
      <c r="B205" s="1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</row>
    <row r="206" ht="27.75" customHeight="1">
      <c r="A206" s="36" t="n"/>
      <c r="B206" s="1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</row>
    <row r="207" ht="27.75" customHeight="1">
      <c r="A207" s="36" t="n"/>
      <c r="B207" s="1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</row>
    <row r="208" ht="27.75" customHeight="1">
      <c r="A208" s="36" t="n"/>
      <c r="B208" s="1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</row>
    <row r="209" ht="27.75" customHeight="1">
      <c r="A209" s="36" t="n"/>
      <c r="B209" s="1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</row>
    <row r="210" ht="27.75" customHeight="1">
      <c r="A210" s="36" t="n"/>
      <c r="B210" s="1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</row>
    <row r="211" ht="27.75" customHeight="1">
      <c r="A211" s="36" t="n"/>
      <c r="B211" s="1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</row>
    <row r="212" ht="27.75" customHeight="1">
      <c r="A212" s="36" t="n"/>
      <c r="B212" s="1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</row>
    <row r="213" ht="27.75" customHeight="1">
      <c r="A213" s="36" t="n"/>
      <c r="B213" s="1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</row>
    <row r="214" ht="27.75" customHeight="1">
      <c r="A214" s="36" t="n"/>
      <c r="B214" s="1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</row>
    <row r="215" ht="27.75" customHeight="1">
      <c r="A215" s="36" t="n"/>
      <c r="B215" s="1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</row>
    <row r="216" ht="27.75" customHeight="1">
      <c r="A216" s="36" t="n"/>
      <c r="B216" s="1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</row>
    <row r="217" ht="27.75" customHeight="1">
      <c r="A217" s="36" t="n"/>
      <c r="B217" s="1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</row>
    <row r="218" ht="27.75" customHeight="1">
      <c r="A218" s="36" t="n"/>
      <c r="B218" s="1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</row>
    <row r="219" ht="27.75" customHeight="1">
      <c r="A219" s="36" t="n"/>
      <c r="B219" s="1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</row>
    <row r="220" ht="27.75" customHeight="1">
      <c r="A220" s="36" t="n"/>
      <c r="B220" s="1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</row>
    <row r="221" ht="27.75" customHeight="1">
      <c r="A221" s="36" t="n"/>
      <c r="B221" s="1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</row>
    <row r="222" ht="27.75" customHeight="1">
      <c r="A222" s="36" t="n"/>
      <c r="B222" s="1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</row>
    <row r="223" ht="27.75" customHeight="1">
      <c r="A223" s="36" t="n"/>
      <c r="B223" s="1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</row>
    <row r="224" ht="27.75" customHeight="1">
      <c r="A224" s="36" t="n"/>
      <c r="B224" s="1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</row>
    <row r="225" ht="27.75" customHeight="1">
      <c r="A225" s="36" t="n"/>
      <c r="B225" s="1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</row>
    <row r="226" ht="27.75" customHeight="1">
      <c r="A226" s="36" t="n"/>
      <c r="B226" s="1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</row>
    <row r="227" ht="27.75" customHeight="1">
      <c r="A227" s="36" t="n"/>
      <c r="B227" s="1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</row>
    <row r="228" ht="27.75" customHeight="1">
      <c r="A228" s="36" t="n"/>
      <c r="B228" s="1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</row>
    <row r="229" ht="27.75" customHeight="1">
      <c r="A229" s="36" t="n"/>
      <c r="B229" s="1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</row>
    <row r="230" ht="27.75" customHeight="1">
      <c r="A230" s="36" t="n"/>
      <c r="B230" s="1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</row>
    <row r="231" ht="27.75" customHeight="1">
      <c r="A231" s="36" t="n"/>
      <c r="B231" s="1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</row>
    <row r="232" ht="27.75" customHeight="1">
      <c r="A232" s="36" t="n"/>
      <c r="B232" s="1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</row>
    <row r="233" ht="27.75" customHeight="1">
      <c r="A233" s="36" t="n"/>
      <c r="B233" s="1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</row>
    <row r="234" ht="27.75" customHeight="1">
      <c r="A234" s="2" t="n"/>
      <c r="B234" s="16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36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</row>
    <row r="235" ht="27.75" customHeight="1">
      <c r="A235" s="2" t="n"/>
      <c r="B235" s="16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36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</row>
    <row r="236" ht="27.75" customHeight="1">
      <c r="A236" s="2" t="n"/>
      <c r="B236" s="16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36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</row>
    <row r="237" ht="27.75" customHeight="1">
      <c r="A237" s="2" t="n"/>
      <c r="B237" s="16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36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</row>
    <row r="238" ht="27.75" customHeight="1">
      <c r="A238" s="2" t="n"/>
      <c r="B238" s="16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36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</row>
    <row r="239" ht="27.75" customHeight="1">
      <c r="A239" s="2" t="n"/>
      <c r="B239" s="16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36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</row>
    <row r="240" ht="27.75" customHeight="1">
      <c r="A240" s="2" t="n"/>
      <c r="B240" s="16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36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</row>
    <row r="241" ht="27.75" customHeight="1">
      <c r="A241" s="2" t="n"/>
      <c r="B241" s="16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36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</row>
    <row r="242" ht="27.75" customHeight="1">
      <c r="A242" s="2" t="n"/>
      <c r="B242" s="16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36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</row>
    <row r="243" ht="27.75" customHeight="1">
      <c r="A243" s="2" t="n"/>
      <c r="B243" s="16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36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</row>
    <row r="244" ht="27.75" customHeight="1">
      <c r="A244" s="2" t="n"/>
      <c r="B244" s="16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36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</row>
    <row r="245" ht="27.75" customHeight="1">
      <c r="A245" s="2" t="n"/>
      <c r="B245" s="16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36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</row>
    <row r="246" ht="27.75" customHeight="1">
      <c r="A246" s="2" t="n"/>
      <c r="B246" s="16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36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</row>
    <row r="247" ht="27.75" customHeight="1">
      <c r="A247" s="2" t="n"/>
      <c r="B247" s="16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36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</row>
    <row r="248" ht="27.75" customHeight="1">
      <c r="A248" s="2" t="n"/>
      <c r="B248" s="16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36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</row>
    <row r="249" ht="27.75" customHeight="1">
      <c r="A249" s="2" t="n"/>
      <c r="B249" s="16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36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</row>
    <row r="250" ht="27.75" customHeight="1">
      <c r="A250" s="2" t="n"/>
      <c r="B250" s="16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36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</row>
    <row r="251" ht="27.75" customHeight="1">
      <c r="A251" s="2" t="n"/>
      <c r="B251" s="16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36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</row>
    <row r="252" ht="27.75" customHeight="1">
      <c r="A252" s="2" t="n"/>
      <c r="B252" s="16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36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</row>
    <row r="253" ht="27.75" customHeight="1">
      <c r="A253" s="2" t="n"/>
      <c r="B253" s="16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36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</row>
    <row r="254" ht="27.75" customHeight="1">
      <c r="A254" s="2" t="n"/>
      <c r="B254" s="16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36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</row>
    <row r="255" ht="27.75" customHeight="1">
      <c r="A255" s="2" t="n"/>
      <c r="B255" s="16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36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</row>
    <row r="256" ht="27.75" customHeight="1">
      <c r="A256" s="2" t="n"/>
      <c r="B256" s="16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36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</row>
    <row r="257" ht="27.75" customHeight="1">
      <c r="A257" s="2" t="n"/>
      <c r="B257" s="16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36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</row>
    <row r="258" ht="27.75" customHeight="1">
      <c r="A258" s="2" t="n"/>
      <c r="B258" s="16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36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</row>
    <row r="259" ht="27.75" customHeight="1">
      <c r="A259" s="2" t="n"/>
      <c r="B259" s="16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36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</row>
    <row r="260" ht="27.75" customHeight="1">
      <c r="A260" s="2" t="n"/>
      <c r="B260" s="16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36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</row>
    <row r="261" ht="27.75" customHeight="1">
      <c r="A261" s="2" t="n"/>
      <c r="B261" s="16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36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</row>
    <row r="262" ht="27.75" customHeight="1">
      <c r="A262" s="2" t="n"/>
      <c r="B262" s="16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36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</row>
    <row r="263" ht="27.75" customHeight="1">
      <c r="A263" s="2" t="n"/>
      <c r="B263" s="16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36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</row>
    <row r="264" ht="27.75" customHeight="1">
      <c r="A264" s="2" t="n"/>
      <c r="B264" s="16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36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</row>
    <row r="265" ht="27.75" customHeight="1">
      <c r="A265" s="2" t="n"/>
      <c r="B265" s="16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36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</row>
    <row r="266" ht="27.75" customHeight="1">
      <c r="A266" s="2" t="n"/>
      <c r="B266" s="16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36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</row>
    <row r="267" ht="27.75" customHeight="1">
      <c r="A267" s="2" t="n"/>
      <c r="B267" s="16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36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</row>
    <row r="268" ht="27.75" customHeight="1">
      <c r="A268" s="2" t="n"/>
      <c r="B268" s="16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36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</row>
    <row r="269" ht="27.75" customHeight="1">
      <c r="A269" s="2" t="n"/>
      <c r="B269" s="16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36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</row>
    <row r="270" ht="27.75" customHeight="1">
      <c r="A270" s="2" t="n"/>
      <c r="B270" s="16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36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</row>
    <row r="271" ht="27.75" customHeight="1">
      <c r="A271" s="2" t="n"/>
      <c r="B271" s="16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36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</row>
    <row r="272" ht="27.75" customHeight="1">
      <c r="A272" s="2" t="n"/>
      <c r="B272" s="16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36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</row>
    <row r="273" ht="27.75" customHeight="1">
      <c r="A273" s="2" t="n"/>
      <c r="B273" s="16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36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</row>
    <row r="274" ht="27.75" customHeight="1">
      <c r="A274" s="2" t="n"/>
      <c r="B274" s="16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36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</row>
    <row r="275" ht="27.75" customHeight="1">
      <c r="A275" s="2" t="n"/>
      <c r="B275" s="16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36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</row>
    <row r="276" ht="27.75" customHeight="1">
      <c r="A276" s="2" t="n"/>
      <c r="B276" s="16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36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</row>
    <row r="277" ht="27.75" customHeight="1">
      <c r="A277" s="2" t="n"/>
      <c r="B277" s="16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36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</row>
    <row r="278" ht="27.75" customHeight="1">
      <c r="A278" s="2" t="n"/>
      <c r="B278" s="16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36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</row>
    <row r="279" ht="27.75" customHeight="1">
      <c r="A279" s="2" t="n"/>
      <c r="B279" s="16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36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</row>
    <row r="280" ht="27.75" customHeight="1">
      <c r="A280" s="2" t="n"/>
      <c r="B280" s="16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36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</row>
    <row r="281" ht="27.75" customHeight="1">
      <c r="A281" s="2" t="n"/>
      <c r="B281" s="16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36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</row>
    <row r="282" ht="27.75" customHeight="1">
      <c r="A282" s="2" t="n"/>
      <c r="B282" s="16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36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</row>
    <row r="283" ht="27.75" customHeight="1">
      <c r="A283" s="2" t="n"/>
      <c r="B283" s="16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36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</row>
    <row r="284" ht="27.75" customHeight="1">
      <c r="A284" s="2" t="n"/>
      <c r="B284" s="16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36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</row>
    <row r="285" ht="27.75" customHeight="1">
      <c r="A285" s="2" t="n"/>
      <c r="B285" s="16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36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</row>
    <row r="286" ht="27.75" customHeight="1">
      <c r="A286" s="2" t="n"/>
      <c r="B286" s="16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36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</row>
    <row r="287" ht="27.75" customHeight="1">
      <c r="A287" s="2" t="n"/>
      <c r="B287" s="16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36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</row>
    <row r="288" ht="27.75" customHeight="1">
      <c r="A288" s="2" t="n"/>
      <c r="B288" s="16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36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</row>
    <row r="289" ht="27.75" customHeight="1">
      <c r="A289" s="2" t="n"/>
      <c r="B289" s="16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36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</row>
    <row r="290" ht="27.75" customHeight="1">
      <c r="A290" s="2" t="n"/>
      <c r="B290" s="16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36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</row>
    <row r="291" ht="27.75" customHeight="1">
      <c r="A291" s="2" t="n"/>
      <c r="B291" s="16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36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</row>
    <row r="292" ht="27.75" customHeight="1">
      <c r="A292" s="2" t="n"/>
      <c r="B292" s="16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36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</row>
    <row r="293" ht="27.75" customHeight="1">
      <c r="A293" s="2" t="n"/>
      <c r="B293" s="16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36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</row>
    <row r="294" ht="27.75" customHeight="1">
      <c r="A294" s="2" t="n"/>
      <c r="B294" s="16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36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</row>
    <row r="295" ht="27.75" customHeight="1">
      <c r="A295" s="2" t="n"/>
      <c r="B295" s="16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36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</row>
    <row r="296" ht="27.75" customHeight="1">
      <c r="A296" s="2" t="n"/>
      <c r="B296" s="16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36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</row>
    <row r="297" ht="27.75" customHeight="1">
      <c r="A297" s="2" t="n"/>
      <c r="B297" s="16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36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</row>
    <row r="298" ht="27.75" customHeight="1">
      <c r="A298" s="2" t="n"/>
      <c r="B298" s="16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36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</row>
    <row r="299" ht="27.75" customHeight="1">
      <c r="A299" s="2" t="n"/>
      <c r="B299" s="16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36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</row>
    <row r="300" ht="27.75" customHeight="1">
      <c r="A300" s="2" t="n"/>
      <c r="B300" s="16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36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</row>
    <row r="301" ht="27.75" customHeight="1">
      <c r="A301" s="2" t="n"/>
      <c r="B301" s="16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36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</row>
    <row r="302" ht="27.75" customHeight="1">
      <c r="A302" s="2" t="n"/>
      <c r="B302" s="16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36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</row>
    <row r="303" ht="27.75" customHeight="1">
      <c r="A303" s="2" t="n"/>
      <c r="B303" s="16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36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</row>
    <row r="304" ht="27.75" customHeight="1">
      <c r="A304" s="2" t="n"/>
      <c r="B304" s="16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36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</row>
    <row r="305" ht="27.75" customHeight="1">
      <c r="A305" s="2" t="n"/>
      <c r="B305" s="16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36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</row>
    <row r="306" ht="27.75" customHeight="1">
      <c r="A306" s="2" t="n"/>
      <c r="B306" s="16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36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</row>
    <row r="307" ht="27.75" customHeight="1">
      <c r="A307" s="2" t="n"/>
      <c r="B307" s="16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36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</row>
    <row r="308" ht="27.75" customHeight="1">
      <c r="A308" s="2" t="n"/>
      <c r="B308" s="16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36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</row>
    <row r="309" ht="27.75" customHeight="1">
      <c r="A309" s="2" t="n"/>
      <c r="B309" s="16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36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</row>
    <row r="310" ht="27.75" customHeight="1">
      <c r="A310" s="2" t="n"/>
      <c r="B310" s="16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36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</row>
    <row r="311" ht="27.75" customHeight="1">
      <c r="A311" s="2" t="n"/>
      <c r="B311" s="16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36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</row>
    <row r="312" ht="27.75" customHeight="1">
      <c r="A312" s="2" t="n"/>
      <c r="B312" s="16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36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</row>
    <row r="313" ht="27.75" customHeight="1">
      <c r="A313" s="2" t="n"/>
      <c r="B313" s="16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36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</row>
    <row r="314" ht="27.75" customHeight="1">
      <c r="A314" s="2" t="n"/>
      <c r="B314" s="16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36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</row>
    <row r="315" ht="27.75" customHeight="1">
      <c r="A315" s="2" t="n"/>
      <c r="B315" s="16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36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</row>
    <row r="316" ht="27.75" customHeight="1">
      <c r="A316" s="2" t="n"/>
      <c r="B316" s="16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36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</row>
    <row r="317" ht="27.75" customHeight="1">
      <c r="A317" s="2" t="n"/>
      <c r="B317" s="16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36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</row>
    <row r="318" ht="27.75" customHeight="1">
      <c r="A318" s="2" t="n"/>
      <c r="B318" s="16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36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</row>
    <row r="319" ht="27.75" customHeight="1">
      <c r="A319" s="2" t="n"/>
      <c r="B319" s="16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36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</row>
    <row r="320" ht="27.75" customHeight="1">
      <c r="A320" s="2" t="n"/>
      <c r="B320" s="16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36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</row>
    <row r="321" ht="27.75" customHeight="1">
      <c r="A321" s="2" t="n"/>
      <c r="B321" s="16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36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</row>
    <row r="322" ht="27.75" customHeight="1">
      <c r="A322" s="2" t="n"/>
      <c r="B322" s="16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36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</row>
    <row r="323" ht="27.75" customHeight="1">
      <c r="A323" s="2" t="n"/>
      <c r="B323" s="16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36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</row>
    <row r="324" ht="27.75" customHeight="1">
      <c r="A324" s="2" t="n"/>
      <c r="B324" s="16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36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</row>
    <row r="325" ht="27.75" customHeight="1">
      <c r="A325" s="2" t="n"/>
      <c r="B325" s="16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36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</row>
    <row r="326" ht="27.75" customHeight="1">
      <c r="A326" s="2" t="n"/>
      <c r="B326" s="16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36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</row>
    <row r="327" ht="27.75" customHeight="1">
      <c r="A327" s="2" t="n"/>
      <c r="B327" s="16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36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</row>
    <row r="328" ht="27.75" customHeight="1">
      <c r="A328" s="2" t="n"/>
      <c r="B328" s="16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36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</row>
    <row r="329" ht="27.75" customHeight="1">
      <c r="A329" s="2" t="n"/>
      <c r="B329" s="16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36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</row>
    <row r="330" ht="27.75" customHeight="1">
      <c r="A330" s="2" t="n"/>
      <c r="B330" s="16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36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</row>
    <row r="331" ht="27.75" customHeight="1">
      <c r="A331" s="2" t="n"/>
      <c r="B331" s="16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36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</row>
    <row r="332" ht="27.75" customHeight="1">
      <c r="A332" s="2" t="n"/>
      <c r="B332" s="16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36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</row>
    <row r="333" ht="27.75" customHeight="1">
      <c r="A333" s="2" t="n"/>
      <c r="B333" s="16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36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</row>
    <row r="334" ht="27.75" customHeight="1">
      <c r="A334" s="2" t="n"/>
      <c r="B334" s="16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36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</row>
    <row r="335" ht="27.75" customHeight="1">
      <c r="A335" s="2" t="n"/>
      <c r="B335" s="16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36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</row>
    <row r="336" ht="27.75" customHeight="1">
      <c r="A336" s="2" t="n"/>
      <c r="B336" s="16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36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</row>
    <row r="337" ht="27.75" customHeight="1">
      <c r="A337" s="2" t="n"/>
      <c r="B337" s="16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36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</row>
    <row r="338" ht="27.75" customHeight="1">
      <c r="A338" s="2" t="n"/>
      <c r="B338" s="16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36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</row>
    <row r="339" ht="27.75" customHeight="1">
      <c r="A339" s="2" t="n"/>
      <c r="B339" s="16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36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</row>
    <row r="340" ht="27.75" customHeight="1">
      <c r="A340" s="2" t="n"/>
      <c r="B340" s="16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36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</row>
    <row r="341" ht="27.75" customHeight="1">
      <c r="A341" s="2" t="n"/>
      <c r="B341" s="16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36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</row>
    <row r="342" ht="27.75" customHeight="1">
      <c r="A342" s="2" t="n"/>
      <c r="B342" s="16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36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</row>
    <row r="343" ht="27.75" customHeight="1">
      <c r="A343" s="2" t="n"/>
      <c r="B343" s="16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36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</row>
    <row r="344" ht="27.75" customHeight="1">
      <c r="A344" s="2" t="n"/>
      <c r="B344" s="16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36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</row>
    <row r="345" ht="27.75" customHeight="1">
      <c r="A345" s="2" t="n"/>
      <c r="B345" s="16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36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</row>
    <row r="346" ht="27.75" customHeight="1">
      <c r="A346" s="2" t="n"/>
      <c r="B346" s="16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36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</row>
    <row r="347" ht="27.75" customHeight="1">
      <c r="A347" s="2" t="n"/>
      <c r="B347" s="16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36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</row>
    <row r="348" ht="27.75" customHeight="1">
      <c r="A348" s="2" t="n"/>
      <c r="B348" s="16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36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</row>
    <row r="349" ht="27.75" customHeight="1">
      <c r="A349" s="2" t="n"/>
      <c r="B349" s="16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36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</row>
    <row r="350" ht="27.75" customHeight="1">
      <c r="A350" s="2" t="n"/>
      <c r="B350" s="16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36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</row>
    <row r="351" ht="27.75" customHeight="1">
      <c r="A351" s="2" t="n"/>
      <c r="B351" s="16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36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</row>
    <row r="352" ht="27.75" customHeight="1">
      <c r="A352" s="2" t="n"/>
      <c r="B352" s="16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36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</row>
    <row r="353" ht="27.75" customHeight="1">
      <c r="A353" s="2" t="n"/>
      <c r="B353" s="16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36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</row>
    <row r="354" ht="27.75" customHeight="1">
      <c r="A354" s="2" t="n"/>
      <c r="B354" s="16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36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</row>
    <row r="355" ht="27.75" customHeight="1">
      <c r="A355" s="2" t="n"/>
      <c r="B355" s="16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36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</row>
    <row r="356" ht="27.75" customHeight="1">
      <c r="A356" s="2" t="n"/>
      <c r="B356" s="16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36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</row>
    <row r="357" ht="27.75" customHeight="1">
      <c r="A357" s="2" t="n"/>
      <c r="B357" s="16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36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</row>
    <row r="358" ht="27.75" customHeight="1">
      <c r="A358" s="2" t="n"/>
      <c r="B358" s="16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36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</row>
    <row r="359" ht="27.75" customHeight="1">
      <c r="A359" s="2" t="n"/>
      <c r="B359" s="16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36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</row>
    <row r="360" ht="27.75" customHeight="1">
      <c r="A360" s="2" t="n"/>
      <c r="B360" s="16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36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</row>
    <row r="361" ht="27.75" customHeight="1">
      <c r="A361" s="2" t="n"/>
      <c r="B361" s="16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36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</row>
    <row r="362" ht="27.75" customHeight="1">
      <c r="A362" s="2" t="n"/>
      <c r="B362" s="16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36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</row>
    <row r="363" ht="27.75" customHeight="1">
      <c r="A363" s="2" t="n"/>
      <c r="B363" s="16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36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</row>
    <row r="364" ht="27.75" customHeight="1">
      <c r="A364" s="2" t="n"/>
      <c r="B364" s="16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36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</row>
    <row r="365" ht="27.75" customHeight="1">
      <c r="A365" s="2" t="n"/>
      <c r="B365" s="16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36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</row>
    <row r="366" ht="27.75" customHeight="1">
      <c r="A366" s="2" t="n"/>
      <c r="B366" s="16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36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</row>
    <row r="367" ht="27.75" customHeight="1">
      <c r="A367" s="2" t="n"/>
      <c r="B367" s="16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36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</row>
    <row r="368" ht="27.75" customHeight="1">
      <c r="A368" s="2" t="n"/>
      <c r="B368" s="16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36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</row>
    <row r="369" ht="27.75" customHeight="1">
      <c r="A369" s="2" t="n"/>
      <c r="B369" s="16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36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</row>
    <row r="370" ht="27.75" customHeight="1">
      <c r="A370" s="2" t="n"/>
      <c r="B370" s="16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36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</row>
    <row r="371" ht="27.75" customHeight="1">
      <c r="A371" s="2" t="n"/>
      <c r="B371" s="16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36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</row>
    <row r="372" ht="27.75" customHeight="1">
      <c r="A372" s="2" t="n"/>
      <c r="B372" s="16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36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</row>
    <row r="373" ht="27.75" customHeight="1">
      <c r="A373" s="2" t="n"/>
      <c r="B373" s="16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36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</row>
    <row r="374" ht="27.75" customHeight="1">
      <c r="A374" s="2" t="n"/>
      <c r="B374" s="16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36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</row>
    <row r="375" ht="27.75" customHeight="1">
      <c r="A375" s="2" t="n"/>
      <c r="B375" s="16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36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</row>
    <row r="376" ht="27.75" customHeight="1">
      <c r="A376" s="2" t="n"/>
      <c r="B376" s="16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36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</row>
    <row r="377" ht="27.75" customHeight="1">
      <c r="A377" s="2" t="n"/>
      <c r="B377" s="16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36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</row>
    <row r="378" ht="27.75" customHeight="1">
      <c r="A378" s="2" t="n"/>
      <c r="B378" s="16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36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</row>
    <row r="379" ht="27.75" customHeight="1">
      <c r="A379" s="2" t="n"/>
      <c r="B379" s="16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36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</row>
    <row r="380" ht="27.75" customHeight="1">
      <c r="A380" s="2" t="n"/>
      <c r="B380" s="16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36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</row>
    <row r="381" ht="27.75" customHeight="1">
      <c r="A381" s="2" t="n"/>
      <c r="B381" s="16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36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</row>
    <row r="382" ht="27.75" customHeight="1">
      <c r="A382" s="2" t="n"/>
      <c r="B382" s="16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36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</row>
    <row r="383" ht="27.75" customHeight="1">
      <c r="A383" s="2" t="n"/>
      <c r="B383" s="16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36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</row>
    <row r="384" ht="27.75" customHeight="1">
      <c r="A384" s="2" t="n"/>
      <c r="B384" s="16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36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</row>
    <row r="385" ht="27.75" customHeight="1">
      <c r="A385" s="2" t="n"/>
      <c r="B385" s="16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36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</row>
    <row r="386" ht="27.75" customHeight="1">
      <c r="A386" s="2" t="n"/>
      <c r="B386" s="16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36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</row>
    <row r="387" ht="27.75" customHeight="1">
      <c r="A387" s="2" t="n"/>
      <c r="B387" s="16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36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</row>
    <row r="388" ht="27.75" customHeight="1">
      <c r="A388" s="2" t="n"/>
      <c r="B388" s="16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36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</row>
    <row r="389" ht="27.75" customHeight="1">
      <c r="A389" s="2" t="n"/>
      <c r="B389" s="16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36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</row>
    <row r="390" ht="27.75" customHeight="1">
      <c r="A390" s="2" t="n"/>
      <c r="B390" s="16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36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</row>
    <row r="391" ht="27.75" customHeight="1">
      <c r="A391" s="2" t="n"/>
      <c r="B391" s="16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36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</row>
    <row r="392" ht="27.75" customHeight="1">
      <c r="A392" s="2" t="n"/>
      <c r="B392" s="16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36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</row>
    <row r="393" ht="27.75" customHeight="1">
      <c r="A393" s="2" t="n"/>
      <c r="B393" s="16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36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</row>
    <row r="394" ht="27.75" customHeight="1">
      <c r="A394" s="2" t="n"/>
      <c r="B394" s="16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36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</row>
    <row r="395" ht="27.75" customHeight="1">
      <c r="A395" s="2" t="n"/>
      <c r="B395" s="16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36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</row>
    <row r="396" ht="27.75" customHeight="1">
      <c r="A396" s="2" t="n"/>
      <c r="B396" s="16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36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</row>
    <row r="397" ht="27.75" customHeight="1">
      <c r="A397" s="2" t="n"/>
      <c r="B397" s="16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36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</row>
    <row r="398" ht="27.75" customHeight="1">
      <c r="A398" s="2" t="n"/>
      <c r="B398" s="16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36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</row>
    <row r="399" ht="27.75" customHeight="1">
      <c r="A399" s="2" t="n"/>
      <c r="B399" s="16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36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</row>
    <row r="400" ht="27.75" customHeight="1">
      <c r="A400" s="2" t="n"/>
      <c r="B400" s="16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36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</row>
    <row r="401" ht="27.75" customHeight="1">
      <c r="A401" s="2" t="n"/>
      <c r="B401" s="16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36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</row>
    <row r="402" ht="27.75" customHeight="1">
      <c r="A402" s="2" t="n"/>
      <c r="B402" s="16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36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</row>
    <row r="403" ht="27.75" customHeight="1">
      <c r="A403" s="2" t="n"/>
      <c r="B403" s="16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36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</row>
    <row r="404" ht="27.75" customHeight="1">
      <c r="A404" s="2" t="n"/>
      <c r="B404" s="16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36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</row>
    <row r="405" ht="27.75" customHeight="1">
      <c r="A405" s="2" t="n"/>
      <c r="B405" s="16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36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</row>
    <row r="406" ht="27.75" customHeight="1">
      <c r="A406" s="2" t="n"/>
      <c r="B406" s="16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36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</row>
    <row r="407" ht="27.75" customHeight="1">
      <c r="A407" s="2" t="n"/>
      <c r="B407" s="16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36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</row>
    <row r="408" ht="27.75" customHeight="1">
      <c r="A408" s="2" t="n"/>
      <c r="B408" s="16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36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</row>
    <row r="409" ht="27.75" customHeight="1">
      <c r="A409" s="2" t="n"/>
      <c r="B409" s="16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36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</row>
    <row r="410" ht="27.75" customHeight="1">
      <c r="A410" s="2" t="n"/>
      <c r="B410" s="16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36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</row>
    <row r="411" ht="27.75" customHeight="1">
      <c r="A411" s="2" t="n"/>
      <c r="B411" s="16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36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</row>
    <row r="412" ht="27.75" customHeight="1">
      <c r="A412" s="2" t="n"/>
      <c r="B412" s="16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36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</row>
    <row r="413" ht="27.75" customHeight="1">
      <c r="A413" s="2" t="n"/>
      <c r="B413" s="16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36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</row>
    <row r="414" ht="27.75" customHeight="1">
      <c r="A414" s="2" t="n"/>
      <c r="B414" s="16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36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</row>
    <row r="415" ht="27.75" customHeight="1">
      <c r="A415" s="2" t="n"/>
      <c r="B415" s="16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36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</row>
    <row r="416" ht="27.75" customHeight="1">
      <c r="A416" s="2" t="n"/>
      <c r="B416" s="16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36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</row>
    <row r="417" ht="27.75" customHeight="1">
      <c r="A417" s="2" t="n"/>
      <c r="B417" s="16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36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</row>
    <row r="418" ht="27.75" customHeight="1">
      <c r="A418" s="2" t="n"/>
      <c r="B418" s="16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36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</row>
    <row r="419" ht="27.75" customHeight="1">
      <c r="A419" s="2" t="n"/>
      <c r="B419" s="16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36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</row>
    <row r="420" ht="27.75" customHeight="1">
      <c r="A420" s="2" t="n"/>
      <c r="B420" s="16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36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</row>
    <row r="421" ht="27.75" customHeight="1">
      <c r="A421" s="2" t="n"/>
      <c r="B421" s="16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36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</row>
    <row r="422" ht="27.75" customHeight="1">
      <c r="A422" s="2" t="n"/>
      <c r="B422" s="16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36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</row>
    <row r="423" ht="27.75" customHeight="1">
      <c r="A423" s="2" t="n"/>
      <c r="B423" s="16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36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</row>
    <row r="424" ht="27.75" customHeight="1">
      <c r="A424" s="2" t="n"/>
      <c r="B424" s="16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36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</row>
    <row r="425" ht="27.75" customHeight="1">
      <c r="A425" s="2" t="n"/>
      <c r="B425" s="16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36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</row>
    <row r="426" ht="27.75" customHeight="1">
      <c r="A426" s="2" t="n"/>
      <c r="B426" s="16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36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</row>
    <row r="427" ht="27.75" customHeight="1">
      <c r="A427" s="2" t="n"/>
      <c r="B427" s="16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36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</row>
    <row r="428" ht="27.75" customHeight="1">
      <c r="A428" s="2" t="n"/>
      <c r="B428" s="16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36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</row>
    <row r="429" ht="27.75" customHeight="1">
      <c r="A429" s="2" t="n"/>
      <c r="B429" s="16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36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</row>
    <row r="430" ht="27.75" customHeight="1">
      <c r="A430" s="2" t="n"/>
      <c r="B430" s="16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36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</row>
    <row r="431" ht="27.75" customHeight="1">
      <c r="A431" s="2" t="n"/>
      <c r="B431" s="16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36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</row>
    <row r="432" ht="27.75" customHeight="1">
      <c r="A432" s="2" t="n"/>
      <c r="B432" s="16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36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</row>
    <row r="433" ht="27.75" customHeight="1">
      <c r="A433" s="2" t="n"/>
      <c r="B433" s="16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36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</row>
    <row r="434" ht="27.75" customHeight="1">
      <c r="A434" s="2" t="n"/>
      <c r="B434" s="16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36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</row>
    <row r="435" ht="27.75" customHeight="1">
      <c r="A435" s="2" t="n"/>
      <c r="B435" s="16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36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</row>
    <row r="436" ht="27.75" customHeight="1">
      <c r="A436" s="2" t="n"/>
      <c r="B436" s="16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36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</row>
    <row r="437" ht="27.75" customHeight="1">
      <c r="A437" s="2" t="n"/>
      <c r="B437" s="16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36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</row>
    <row r="438" ht="27.75" customHeight="1">
      <c r="A438" s="2" t="n"/>
      <c r="B438" s="16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36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</row>
    <row r="439" ht="27.75" customHeight="1">
      <c r="A439" s="2" t="n"/>
      <c r="B439" s="16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36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</row>
    <row r="440" ht="27.75" customHeight="1">
      <c r="A440" s="2" t="n"/>
      <c r="B440" s="16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36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</row>
    <row r="441" ht="27.75" customHeight="1">
      <c r="A441" s="2" t="n"/>
      <c r="B441" s="16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36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</row>
    <row r="442" ht="27.75" customHeight="1">
      <c r="A442" s="2" t="n"/>
      <c r="B442" s="16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36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</row>
    <row r="443" ht="27.75" customHeight="1">
      <c r="A443" s="2" t="n"/>
      <c r="B443" s="16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36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</row>
    <row r="444" ht="27.75" customHeight="1">
      <c r="A444" s="2" t="n"/>
      <c r="B444" s="16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36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</row>
    <row r="445" ht="27.75" customHeight="1">
      <c r="A445" s="2" t="n"/>
      <c r="B445" s="16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36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</row>
    <row r="446" ht="27.75" customHeight="1">
      <c r="A446" s="2" t="n"/>
      <c r="B446" s="16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36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</row>
    <row r="447" ht="27.75" customHeight="1">
      <c r="A447" s="2" t="n"/>
      <c r="B447" s="16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36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</row>
    <row r="448" ht="27.75" customHeight="1">
      <c r="A448" s="2" t="n"/>
      <c r="B448" s="16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36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</row>
    <row r="449" ht="27.75" customHeight="1">
      <c r="A449" s="2" t="n"/>
      <c r="B449" s="16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36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</row>
    <row r="450" ht="27.75" customHeight="1">
      <c r="A450" s="2" t="n"/>
      <c r="B450" s="16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36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</row>
    <row r="451" ht="27.75" customHeight="1">
      <c r="A451" s="2" t="n"/>
      <c r="B451" s="16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36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</row>
    <row r="452" ht="27.75" customHeight="1">
      <c r="A452" s="2" t="n"/>
      <c r="B452" s="16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36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</row>
    <row r="453" ht="27.75" customHeight="1">
      <c r="A453" s="2" t="n"/>
      <c r="B453" s="16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36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</row>
    <row r="454" ht="27.75" customHeight="1">
      <c r="A454" s="2" t="n"/>
      <c r="B454" s="16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36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</row>
    <row r="455" ht="27.75" customHeight="1">
      <c r="A455" s="2" t="n"/>
      <c r="B455" s="16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36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</row>
    <row r="456" ht="27.75" customHeight="1">
      <c r="A456" s="2" t="n"/>
      <c r="B456" s="16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36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</row>
    <row r="457" ht="27.75" customHeight="1">
      <c r="A457" s="2" t="n"/>
      <c r="B457" s="16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36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</row>
    <row r="458" ht="27.75" customHeight="1">
      <c r="A458" s="2" t="n"/>
      <c r="B458" s="16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36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</row>
    <row r="459" ht="27.75" customHeight="1">
      <c r="A459" s="2" t="n"/>
      <c r="B459" s="16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36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</row>
    <row r="460" ht="27.75" customHeight="1">
      <c r="A460" s="2" t="n"/>
      <c r="B460" s="16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36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</row>
    <row r="461" ht="27.75" customHeight="1">
      <c r="A461" s="2" t="n"/>
      <c r="B461" s="16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36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</row>
    <row r="462" ht="27.75" customHeight="1">
      <c r="A462" s="2" t="n"/>
      <c r="B462" s="16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36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</row>
    <row r="463" ht="27.75" customHeight="1">
      <c r="A463" s="2" t="n"/>
      <c r="B463" s="16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36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</row>
    <row r="464" ht="27.75" customHeight="1">
      <c r="A464" s="2" t="n"/>
      <c r="B464" s="16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36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</row>
    <row r="465" ht="27.75" customHeight="1">
      <c r="A465" s="2" t="n"/>
      <c r="B465" s="16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36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</row>
    <row r="466" ht="27.75" customHeight="1">
      <c r="A466" s="2" t="n"/>
      <c r="B466" s="16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36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</row>
    <row r="467" ht="27.75" customHeight="1">
      <c r="A467" s="2" t="n"/>
      <c r="B467" s="16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36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</row>
    <row r="468" ht="27.75" customHeight="1">
      <c r="A468" s="2" t="n"/>
      <c r="B468" s="16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36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</row>
    <row r="469" ht="27.75" customHeight="1">
      <c r="A469" s="2" t="n"/>
      <c r="B469" s="16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36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</row>
    <row r="470" ht="27.75" customHeight="1">
      <c r="A470" s="2" t="n"/>
      <c r="B470" s="16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36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</row>
    <row r="471" ht="27.75" customHeight="1">
      <c r="A471" s="2" t="n"/>
      <c r="B471" s="16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36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</row>
    <row r="472" ht="27.75" customHeight="1">
      <c r="A472" s="2" t="n"/>
      <c r="B472" s="16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36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</row>
    <row r="473" ht="27.75" customHeight="1">
      <c r="A473" s="2" t="n"/>
      <c r="B473" s="16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36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</row>
    <row r="474" ht="27.75" customHeight="1">
      <c r="A474" s="2" t="n"/>
      <c r="B474" s="16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36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</row>
    <row r="475" ht="27.75" customHeight="1">
      <c r="A475" s="2" t="n"/>
      <c r="B475" s="16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36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</row>
    <row r="476" ht="27.75" customHeight="1">
      <c r="A476" s="2" t="n"/>
      <c r="B476" s="16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36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</row>
    <row r="477" ht="27.75" customHeight="1">
      <c r="A477" s="2" t="n"/>
      <c r="B477" s="16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36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</row>
    <row r="478" ht="27.75" customHeight="1">
      <c r="A478" s="2" t="n"/>
      <c r="B478" s="16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36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</row>
    <row r="479" ht="27.75" customHeight="1">
      <c r="A479" s="2" t="n"/>
      <c r="B479" s="16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36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</row>
    <row r="480" ht="27.75" customHeight="1">
      <c r="A480" s="2" t="n"/>
      <c r="B480" s="16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36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</row>
    <row r="481" ht="27.75" customHeight="1">
      <c r="A481" s="2" t="n"/>
      <c r="B481" s="16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36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</row>
    <row r="482" ht="27.75" customHeight="1">
      <c r="A482" s="2" t="n"/>
      <c r="B482" s="16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36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</row>
    <row r="483" ht="27.75" customHeight="1">
      <c r="A483" s="2" t="n"/>
      <c r="B483" s="16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36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</row>
    <row r="484" ht="27.75" customHeight="1">
      <c r="A484" s="2" t="n"/>
      <c r="B484" s="16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36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</row>
    <row r="485" ht="27.75" customHeight="1">
      <c r="A485" s="2" t="n"/>
      <c r="B485" s="16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36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</row>
    <row r="486" ht="27.75" customHeight="1">
      <c r="A486" s="2" t="n"/>
      <c r="B486" s="16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36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</row>
    <row r="487" ht="27.75" customHeight="1">
      <c r="A487" s="2" t="n"/>
      <c r="B487" s="16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36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</row>
    <row r="488" ht="27.75" customHeight="1">
      <c r="A488" s="2" t="n"/>
      <c r="B488" s="16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36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</row>
    <row r="489" ht="27.75" customHeight="1">
      <c r="A489" s="2" t="n"/>
      <c r="B489" s="16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36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</row>
    <row r="490" ht="27.75" customHeight="1">
      <c r="A490" s="2" t="n"/>
      <c r="B490" s="16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36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</row>
    <row r="491" ht="27.75" customHeight="1">
      <c r="A491" s="2" t="n"/>
      <c r="B491" s="16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36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</row>
    <row r="492" ht="27.75" customHeight="1">
      <c r="A492" s="2" t="n"/>
      <c r="B492" s="16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36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</row>
    <row r="493" ht="27.75" customHeight="1">
      <c r="A493" s="2" t="n"/>
      <c r="B493" s="16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36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</row>
    <row r="494" ht="27.75" customHeight="1">
      <c r="A494" s="2" t="n"/>
      <c r="B494" s="16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36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</row>
    <row r="495" ht="27.75" customHeight="1">
      <c r="A495" s="2" t="n"/>
      <c r="B495" s="16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36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</row>
    <row r="496" ht="27.75" customHeight="1">
      <c r="A496" s="2" t="n"/>
      <c r="B496" s="16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36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</row>
    <row r="497" ht="27.75" customHeight="1">
      <c r="A497" s="2" t="n"/>
      <c r="B497" s="16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36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</row>
    <row r="498" ht="27.75" customHeight="1">
      <c r="A498" s="2" t="n"/>
      <c r="B498" s="16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36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</row>
    <row r="499" ht="27.75" customHeight="1">
      <c r="A499" s="2" t="n"/>
      <c r="B499" s="16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36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</row>
    <row r="500" ht="27.75" customHeight="1">
      <c r="A500" s="2" t="n"/>
      <c r="B500" s="16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36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</row>
    <row r="501" ht="27.75" customHeight="1">
      <c r="A501" s="2" t="n"/>
      <c r="B501" s="16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36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</row>
    <row r="502" ht="27.75" customHeight="1">
      <c r="A502" s="2" t="n"/>
      <c r="B502" s="16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36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</row>
    <row r="503" ht="27.75" customHeight="1">
      <c r="A503" s="2" t="n"/>
      <c r="B503" s="16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36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</row>
    <row r="504" ht="27.75" customHeight="1">
      <c r="A504" s="2" t="n"/>
      <c r="B504" s="16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36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</row>
    <row r="505" ht="27.75" customHeight="1">
      <c r="A505" s="2" t="n"/>
      <c r="B505" s="16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36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</row>
    <row r="506" ht="27.75" customHeight="1">
      <c r="A506" s="2" t="n"/>
      <c r="B506" s="16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36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</row>
    <row r="507" ht="27.75" customHeight="1">
      <c r="A507" s="2" t="n"/>
      <c r="B507" s="16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36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</row>
    <row r="508" ht="27.75" customHeight="1">
      <c r="A508" s="2" t="n"/>
      <c r="B508" s="16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36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</row>
    <row r="509" ht="27.75" customHeight="1">
      <c r="A509" s="2" t="n"/>
      <c r="B509" s="16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36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</row>
    <row r="510" ht="27.75" customHeight="1">
      <c r="A510" s="2" t="n"/>
      <c r="B510" s="16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36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</row>
    <row r="511" ht="27.75" customHeight="1">
      <c r="A511" s="2" t="n"/>
      <c r="B511" s="16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36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</row>
    <row r="512" ht="27.75" customHeight="1">
      <c r="A512" s="2" t="n"/>
      <c r="B512" s="16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36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</row>
    <row r="513" ht="27.75" customHeight="1">
      <c r="A513" s="2" t="n"/>
      <c r="B513" s="16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36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</row>
    <row r="514" ht="27.75" customHeight="1">
      <c r="A514" s="2" t="n"/>
      <c r="B514" s="16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36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</row>
    <row r="515" ht="27.75" customHeight="1">
      <c r="A515" s="2" t="n"/>
      <c r="B515" s="16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36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</row>
    <row r="516" ht="27.75" customHeight="1">
      <c r="A516" s="2" t="n"/>
      <c r="B516" s="16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36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</row>
    <row r="517" ht="27.75" customHeight="1">
      <c r="A517" s="2" t="n"/>
      <c r="B517" s="16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36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</row>
    <row r="518" ht="27.75" customHeight="1">
      <c r="A518" s="2" t="n"/>
      <c r="B518" s="16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36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</row>
    <row r="519" ht="27.75" customHeight="1">
      <c r="A519" s="2" t="n"/>
      <c r="B519" s="16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36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</row>
    <row r="520" ht="27.75" customHeight="1">
      <c r="A520" s="2" t="n"/>
      <c r="B520" s="16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36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</row>
    <row r="521" ht="27.75" customHeight="1">
      <c r="A521" s="2" t="n"/>
      <c r="B521" s="16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36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</row>
    <row r="522" ht="27.75" customHeight="1">
      <c r="A522" s="2" t="n"/>
      <c r="B522" s="16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36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</row>
    <row r="523" ht="27.75" customHeight="1">
      <c r="A523" s="2" t="n"/>
      <c r="B523" s="16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36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</row>
    <row r="524" ht="27.75" customHeight="1">
      <c r="A524" s="2" t="n"/>
      <c r="B524" s="16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36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</row>
    <row r="525" ht="27.75" customHeight="1">
      <c r="A525" s="2" t="n"/>
      <c r="B525" s="16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36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</row>
    <row r="526" ht="27.75" customHeight="1">
      <c r="A526" s="2" t="n"/>
      <c r="B526" s="16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36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</row>
    <row r="527" ht="27.75" customHeight="1">
      <c r="A527" s="2" t="n"/>
      <c r="B527" s="16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36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</row>
    <row r="528" ht="27.75" customHeight="1">
      <c r="A528" s="2" t="n"/>
      <c r="B528" s="16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36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</row>
    <row r="529" ht="27.75" customHeight="1">
      <c r="A529" s="2" t="n"/>
      <c r="B529" s="16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36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</row>
    <row r="530" ht="27.75" customHeight="1">
      <c r="A530" s="2" t="n"/>
      <c r="B530" s="16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36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</row>
    <row r="531" ht="27.75" customHeight="1">
      <c r="A531" s="2" t="n"/>
      <c r="B531" s="16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36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</row>
    <row r="532" ht="27.75" customHeight="1">
      <c r="A532" s="2" t="n"/>
      <c r="B532" s="16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36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</row>
    <row r="533" ht="27.75" customHeight="1">
      <c r="A533" s="2" t="n"/>
      <c r="B533" s="16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36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</row>
    <row r="534" ht="27.75" customHeight="1">
      <c r="A534" s="2" t="n"/>
      <c r="B534" s="16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36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</row>
    <row r="535" ht="27.75" customHeight="1">
      <c r="A535" s="2" t="n"/>
      <c r="B535" s="16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36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</row>
    <row r="536" ht="27.75" customHeight="1">
      <c r="A536" s="2" t="n"/>
      <c r="B536" s="16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36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</row>
    <row r="537" ht="27.75" customHeight="1">
      <c r="A537" s="2" t="n"/>
      <c r="B537" s="16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36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</row>
    <row r="538" ht="27.75" customHeight="1">
      <c r="A538" s="2" t="n"/>
      <c r="B538" s="16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36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</row>
    <row r="539" ht="27.75" customHeight="1">
      <c r="A539" s="2" t="n"/>
      <c r="B539" s="16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36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</row>
    <row r="540" ht="27.75" customHeight="1">
      <c r="A540" s="2" t="n"/>
      <c r="B540" s="16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36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</row>
    <row r="541" ht="27.75" customHeight="1">
      <c r="A541" s="2" t="n"/>
      <c r="B541" s="16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36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</row>
    <row r="542" ht="27.75" customHeight="1">
      <c r="A542" s="2" t="n"/>
      <c r="B542" s="16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36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</row>
    <row r="543" ht="27.75" customHeight="1">
      <c r="A543" s="2" t="n"/>
      <c r="B543" s="16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36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</row>
    <row r="544" ht="27.75" customHeight="1">
      <c r="A544" s="2" t="n"/>
      <c r="B544" s="16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36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</row>
    <row r="545" ht="27.75" customHeight="1">
      <c r="A545" s="2" t="n"/>
      <c r="B545" s="16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36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</row>
    <row r="546" ht="27.75" customHeight="1">
      <c r="A546" s="2" t="n"/>
      <c r="B546" s="16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36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</row>
    <row r="547" ht="27.75" customHeight="1">
      <c r="A547" s="2" t="n"/>
      <c r="B547" s="16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36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</row>
    <row r="548" ht="27.75" customHeight="1">
      <c r="A548" s="2" t="n"/>
      <c r="B548" s="16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36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</row>
    <row r="549" ht="27.75" customHeight="1">
      <c r="A549" s="2" t="n"/>
      <c r="B549" s="16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36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</row>
    <row r="550" ht="27.75" customHeight="1">
      <c r="A550" s="2" t="n"/>
      <c r="B550" s="16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36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</row>
    <row r="551" ht="27.75" customHeight="1">
      <c r="A551" s="2" t="n"/>
      <c r="B551" s="16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36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</row>
    <row r="552" ht="27.75" customHeight="1">
      <c r="A552" s="2" t="n"/>
      <c r="B552" s="16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36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</row>
    <row r="553" ht="27.75" customHeight="1">
      <c r="A553" s="2" t="n"/>
      <c r="B553" s="16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36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</row>
    <row r="554" ht="27.75" customHeight="1">
      <c r="A554" s="2" t="n"/>
      <c r="B554" s="16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36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</row>
    <row r="555" ht="27.75" customHeight="1">
      <c r="A555" s="2" t="n"/>
      <c r="B555" s="16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36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</row>
    <row r="556" ht="27.75" customHeight="1">
      <c r="A556" s="2" t="n"/>
      <c r="B556" s="16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36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</row>
    <row r="557" ht="27.75" customHeight="1">
      <c r="A557" s="2" t="n"/>
      <c r="B557" s="16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36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</row>
    <row r="558" ht="27.75" customHeight="1">
      <c r="A558" s="2" t="n"/>
      <c r="B558" s="16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36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</row>
    <row r="559" ht="27.75" customHeight="1">
      <c r="A559" s="2" t="n"/>
      <c r="B559" s="16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36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</row>
    <row r="560" ht="27.75" customHeight="1">
      <c r="A560" s="2" t="n"/>
      <c r="B560" s="16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36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</row>
    <row r="561" ht="27.75" customHeight="1">
      <c r="A561" s="2" t="n"/>
      <c r="B561" s="16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36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</row>
    <row r="562" ht="27.75" customHeight="1">
      <c r="A562" s="2" t="n"/>
      <c r="B562" s="16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36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</row>
    <row r="563" ht="27.75" customHeight="1">
      <c r="A563" s="2" t="n"/>
      <c r="B563" s="16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36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</row>
    <row r="564" ht="27.75" customHeight="1">
      <c r="A564" s="2" t="n"/>
      <c r="B564" s="16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36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</row>
    <row r="565" ht="27.75" customHeight="1">
      <c r="A565" s="2" t="n"/>
      <c r="B565" s="16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36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</row>
    <row r="566" ht="27.75" customHeight="1">
      <c r="A566" s="2" t="n"/>
      <c r="B566" s="16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36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</row>
    <row r="567" ht="27.75" customHeight="1">
      <c r="A567" s="2" t="n"/>
      <c r="B567" s="16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36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</row>
    <row r="568" ht="27.75" customHeight="1">
      <c r="A568" s="2" t="n"/>
      <c r="B568" s="16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36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</row>
    <row r="569" ht="27.75" customHeight="1">
      <c r="A569" s="2" t="n"/>
      <c r="B569" s="16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36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</row>
    <row r="570" ht="27.75" customHeight="1">
      <c r="A570" s="2" t="n"/>
      <c r="B570" s="16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36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</row>
    <row r="571" ht="27.75" customHeight="1">
      <c r="A571" s="2" t="n"/>
      <c r="B571" s="16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36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</row>
    <row r="572" ht="27.75" customHeight="1">
      <c r="A572" s="2" t="n"/>
      <c r="B572" s="16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36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</row>
    <row r="573" ht="27.75" customHeight="1">
      <c r="A573" s="2" t="n"/>
      <c r="B573" s="16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36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</row>
    <row r="574" ht="27.75" customHeight="1">
      <c r="A574" s="2" t="n"/>
      <c r="B574" s="16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36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</row>
    <row r="575" ht="27.75" customHeight="1">
      <c r="A575" s="2" t="n"/>
      <c r="B575" s="16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36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</row>
    <row r="576" ht="27.75" customHeight="1">
      <c r="A576" s="2" t="n"/>
      <c r="B576" s="16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36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</row>
    <row r="577" ht="27.75" customHeight="1">
      <c r="A577" s="2" t="n"/>
      <c r="B577" s="16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36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</row>
    <row r="578" ht="27.75" customHeight="1">
      <c r="A578" s="2" t="n"/>
      <c r="B578" s="16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36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</row>
    <row r="579" ht="27.75" customHeight="1">
      <c r="A579" s="2" t="n"/>
      <c r="B579" s="16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36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</row>
    <row r="580" ht="27.75" customHeight="1">
      <c r="A580" s="2" t="n"/>
      <c r="B580" s="16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36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</row>
    <row r="581" ht="27.75" customHeight="1">
      <c r="A581" s="2" t="n"/>
      <c r="B581" s="16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36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</row>
    <row r="582" ht="27.75" customHeight="1">
      <c r="A582" s="2" t="n"/>
      <c r="B582" s="16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36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</row>
    <row r="583" ht="27.75" customHeight="1">
      <c r="A583" s="2" t="n"/>
      <c r="B583" s="16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36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</row>
    <row r="584" ht="27.75" customHeight="1">
      <c r="A584" s="2" t="n"/>
      <c r="B584" s="16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36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</row>
    <row r="585" ht="27.75" customHeight="1">
      <c r="A585" s="2" t="n"/>
      <c r="B585" s="16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36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</row>
    <row r="586" ht="27.75" customHeight="1">
      <c r="A586" s="2" t="n"/>
      <c r="B586" s="16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36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</row>
    <row r="587" ht="27.75" customHeight="1">
      <c r="A587" s="2" t="n"/>
      <c r="B587" s="16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36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</row>
    <row r="588" ht="27.75" customHeight="1">
      <c r="A588" s="2" t="n"/>
      <c r="B588" s="16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36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</row>
    <row r="589" ht="27.75" customHeight="1">
      <c r="A589" s="2" t="n"/>
      <c r="B589" s="16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36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</row>
    <row r="590" ht="27.75" customHeight="1">
      <c r="A590" s="2" t="n"/>
      <c r="B590" s="16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36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</row>
    <row r="591" ht="27.75" customHeight="1">
      <c r="A591" s="2" t="n"/>
      <c r="B591" s="16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36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</row>
    <row r="592" ht="27.75" customHeight="1">
      <c r="A592" s="2" t="n"/>
      <c r="B592" s="16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36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</row>
    <row r="593" ht="27.75" customHeight="1">
      <c r="A593" s="2" t="n"/>
      <c r="B593" s="16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36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</row>
    <row r="594" ht="27.75" customHeight="1">
      <c r="A594" s="2" t="n"/>
      <c r="B594" s="16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36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</row>
    <row r="595" ht="27.75" customHeight="1">
      <c r="A595" s="2" t="n"/>
      <c r="B595" s="16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36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</row>
    <row r="596" ht="27.75" customHeight="1">
      <c r="A596" s="2" t="n"/>
      <c r="B596" s="16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36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</row>
    <row r="597" ht="27.75" customHeight="1">
      <c r="A597" s="2" t="n"/>
      <c r="B597" s="16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36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</row>
    <row r="598" ht="27.75" customHeight="1">
      <c r="A598" s="2" t="n"/>
      <c r="B598" s="16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36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</row>
    <row r="599" ht="27.75" customHeight="1">
      <c r="A599" s="2" t="n"/>
      <c r="B599" s="16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36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</row>
    <row r="600" ht="27.75" customHeight="1">
      <c r="A600" s="2" t="n"/>
      <c r="B600" s="16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36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</row>
    <row r="601" ht="27.75" customHeight="1">
      <c r="A601" s="2" t="n"/>
      <c r="B601" s="16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36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</row>
    <row r="602" ht="27.75" customHeight="1">
      <c r="A602" s="2" t="n"/>
      <c r="B602" s="16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36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</row>
    <row r="603" ht="27.75" customHeight="1">
      <c r="A603" s="2" t="n"/>
      <c r="B603" s="16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36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</row>
    <row r="604" ht="27.75" customHeight="1">
      <c r="A604" s="2" t="n"/>
      <c r="B604" s="16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36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</row>
    <row r="605" ht="27.75" customHeight="1">
      <c r="A605" s="2" t="n"/>
      <c r="B605" s="16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36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</row>
    <row r="606" ht="27.75" customHeight="1">
      <c r="A606" s="2" t="n"/>
      <c r="B606" s="16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36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</row>
    <row r="607" ht="27.75" customHeight="1">
      <c r="A607" s="2" t="n"/>
      <c r="B607" s="16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36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</row>
    <row r="608" ht="27.75" customHeight="1">
      <c r="A608" s="2" t="n"/>
      <c r="B608" s="16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36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</row>
    <row r="609" ht="27.75" customHeight="1">
      <c r="A609" s="2" t="n"/>
      <c r="B609" s="16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36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</row>
    <row r="610" ht="27.75" customHeight="1">
      <c r="A610" s="2" t="n"/>
      <c r="B610" s="16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36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</row>
    <row r="611" ht="27.75" customHeight="1">
      <c r="A611" s="2" t="n"/>
      <c r="B611" s="16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36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</row>
    <row r="612" ht="27.75" customHeight="1">
      <c r="A612" s="2" t="n"/>
      <c r="B612" s="16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36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</row>
    <row r="613" ht="27.75" customHeight="1">
      <c r="A613" s="2" t="n"/>
      <c r="B613" s="16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36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</row>
    <row r="614" ht="27.75" customHeight="1">
      <c r="A614" s="2" t="n"/>
      <c r="B614" s="16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36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</row>
    <row r="615" ht="27.75" customHeight="1">
      <c r="A615" s="2" t="n"/>
      <c r="B615" s="16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36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</row>
    <row r="616" ht="27.75" customHeight="1">
      <c r="A616" s="2" t="n"/>
      <c r="B616" s="16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36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</row>
    <row r="617" ht="27.75" customHeight="1">
      <c r="A617" s="2" t="n"/>
      <c r="B617" s="16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36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</row>
    <row r="618" ht="27.75" customHeight="1">
      <c r="A618" s="2" t="n"/>
      <c r="B618" s="16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36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</row>
    <row r="619" ht="27.75" customHeight="1">
      <c r="A619" s="2" t="n"/>
      <c r="B619" s="16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36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</row>
    <row r="620" ht="27.75" customHeight="1">
      <c r="A620" s="2" t="n"/>
      <c r="B620" s="16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36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</row>
    <row r="621" ht="27.75" customHeight="1">
      <c r="A621" s="2" t="n"/>
      <c r="B621" s="16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36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</row>
    <row r="622" ht="27.75" customHeight="1">
      <c r="A622" s="2" t="n"/>
      <c r="B622" s="16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36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</row>
    <row r="623" ht="27.75" customHeight="1">
      <c r="A623" s="2" t="n"/>
      <c r="B623" s="16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36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</row>
    <row r="624" ht="27.75" customHeight="1">
      <c r="A624" s="2" t="n"/>
      <c r="B624" s="16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36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</row>
    <row r="625" ht="27.75" customHeight="1">
      <c r="A625" s="2" t="n"/>
      <c r="B625" s="16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36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</row>
    <row r="626" ht="27.75" customHeight="1">
      <c r="A626" s="2" t="n"/>
      <c r="B626" s="16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36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</row>
    <row r="627" ht="27.75" customHeight="1">
      <c r="A627" s="2" t="n"/>
      <c r="B627" s="16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36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</row>
    <row r="628" ht="27.75" customHeight="1">
      <c r="A628" s="2" t="n"/>
      <c r="B628" s="16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36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</row>
    <row r="629" ht="27.75" customHeight="1">
      <c r="A629" s="2" t="n"/>
      <c r="B629" s="16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36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</row>
    <row r="630" ht="27.75" customHeight="1">
      <c r="A630" s="2" t="n"/>
      <c r="B630" s="16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36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</row>
    <row r="631" ht="27.75" customHeight="1">
      <c r="A631" s="2" t="n"/>
      <c r="B631" s="16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36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</row>
    <row r="632" ht="27.75" customHeight="1">
      <c r="A632" s="2" t="n"/>
      <c r="B632" s="16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36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</row>
    <row r="633" ht="27.75" customHeight="1">
      <c r="A633" s="2" t="n"/>
      <c r="B633" s="16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36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</row>
    <row r="634" ht="27.75" customHeight="1">
      <c r="A634" s="2" t="n"/>
      <c r="B634" s="16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36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</row>
    <row r="635" ht="27.75" customHeight="1">
      <c r="A635" s="2" t="n"/>
      <c r="B635" s="16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36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</row>
    <row r="636" ht="27.75" customHeight="1">
      <c r="A636" s="2" t="n"/>
      <c r="B636" s="16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36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</row>
    <row r="637" ht="27.75" customHeight="1">
      <c r="A637" s="2" t="n"/>
      <c r="B637" s="16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36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</row>
    <row r="638" ht="27.75" customHeight="1">
      <c r="A638" s="2" t="n"/>
      <c r="B638" s="16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36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</row>
    <row r="639" ht="27.75" customHeight="1">
      <c r="A639" s="2" t="n"/>
      <c r="B639" s="16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36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</row>
    <row r="640" ht="27.75" customHeight="1">
      <c r="A640" s="2" t="n"/>
      <c r="B640" s="16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36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</row>
    <row r="641" ht="27.75" customHeight="1">
      <c r="A641" s="2" t="n"/>
      <c r="B641" s="16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36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</row>
    <row r="642" ht="27.75" customHeight="1">
      <c r="A642" s="2" t="n"/>
      <c r="B642" s="16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36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</row>
    <row r="643" ht="27.75" customHeight="1">
      <c r="A643" s="2" t="n"/>
      <c r="B643" s="16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36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</row>
    <row r="644" ht="27.75" customHeight="1">
      <c r="A644" s="2" t="n"/>
      <c r="B644" s="16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36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</row>
    <row r="645" ht="27.75" customHeight="1">
      <c r="A645" s="2" t="n"/>
      <c r="B645" s="16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36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</row>
    <row r="646" ht="27.75" customHeight="1">
      <c r="A646" s="2" t="n"/>
      <c r="B646" s="16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36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</row>
    <row r="647" ht="27.75" customHeight="1">
      <c r="A647" s="2" t="n"/>
      <c r="B647" s="16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36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</row>
    <row r="648" ht="27.75" customHeight="1">
      <c r="A648" s="2" t="n"/>
      <c r="B648" s="16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36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</row>
    <row r="649" ht="27.75" customHeight="1">
      <c r="A649" s="2" t="n"/>
      <c r="B649" s="16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36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</row>
    <row r="650" ht="27.75" customHeight="1">
      <c r="A650" s="2" t="n"/>
      <c r="B650" s="16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36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</row>
    <row r="651" ht="27.75" customHeight="1">
      <c r="A651" s="2" t="n"/>
      <c r="B651" s="16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36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</row>
    <row r="652" ht="27.75" customHeight="1">
      <c r="A652" s="2" t="n"/>
      <c r="B652" s="16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36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</row>
    <row r="653" ht="27.75" customHeight="1">
      <c r="A653" s="2" t="n"/>
      <c r="B653" s="16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36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</row>
    <row r="654" ht="27.75" customHeight="1">
      <c r="A654" s="2" t="n"/>
      <c r="B654" s="16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36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</row>
    <row r="655" ht="27.75" customHeight="1">
      <c r="A655" s="2" t="n"/>
      <c r="B655" s="16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36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</row>
    <row r="656" ht="27.75" customHeight="1">
      <c r="A656" s="2" t="n"/>
      <c r="B656" s="16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36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</row>
    <row r="657" ht="27.75" customHeight="1">
      <c r="A657" s="2" t="n"/>
      <c r="B657" s="16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36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</row>
    <row r="658" ht="27.75" customHeight="1">
      <c r="A658" s="2" t="n"/>
      <c r="B658" s="16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36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</row>
    <row r="659" ht="27.75" customHeight="1">
      <c r="A659" s="2" t="n"/>
      <c r="B659" s="16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36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</row>
    <row r="660" ht="27.75" customHeight="1">
      <c r="A660" s="2" t="n"/>
      <c r="B660" s="16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36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</row>
    <row r="661" ht="27.75" customHeight="1">
      <c r="A661" s="2" t="n"/>
      <c r="B661" s="16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36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</row>
    <row r="662" ht="27.75" customHeight="1">
      <c r="A662" s="2" t="n"/>
      <c r="B662" s="16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36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</row>
    <row r="663" ht="27.75" customHeight="1">
      <c r="A663" s="2" t="n"/>
      <c r="B663" s="16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36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</row>
    <row r="664" ht="27.75" customHeight="1">
      <c r="A664" s="2" t="n"/>
      <c r="B664" s="16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36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</row>
    <row r="665" ht="27.75" customHeight="1">
      <c r="A665" s="2" t="n"/>
      <c r="B665" s="16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36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</row>
    <row r="666" ht="27.75" customHeight="1">
      <c r="A666" s="2" t="n"/>
      <c r="B666" s="16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36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</row>
    <row r="667" ht="27.75" customHeight="1">
      <c r="A667" s="2" t="n"/>
      <c r="B667" s="16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36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</row>
    <row r="668" ht="27.75" customHeight="1">
      <c r="A668" s="2" t="n"/>
      <c r="B668" s="16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36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</row>
    <row r="669" ht="27.75" customHeight="1">
      <c r="A669" s="2" t="n"/>
      <c r="B669" s="16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36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</row>
    <row r="670" ht="27.75" customHeight="1">
      <c r="A670" s="2" t="n"/>
      <c r="B670" s="16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36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</row>
    <row r="671" ht="27.75" customHeight="1">
      <c r="A671" s="2" t="n"/>
      <c r="B671" s="16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36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</row>
    <row r="672" ht="27.75" customHeight="1">
      <c r="A672" s="2" t="n"/>
      <c r="B672" s="16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36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</row>
    <row r="673" ht="27.75" customHeight="1">
      <c r="A673" s="2" t="n"/>
      <c r="B673" s="16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36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</row>
    <row r="674" ht="27.75" customHeight="1">
      <c r="A674" s="2" t="n"/>
      <c r="B674" s="16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36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</row>
    <row r="675" ht="27.75" customHeight="1">
      <c r="A675" s="2" t="n"/>
      <c r="B675" s="16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36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</row>
    <row r="676" ht="27.75" customHeight="1">
      <c r="A676" s="2" t="n"/>
      <c r="B676" s="16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36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</row>
    <row r="677" ht="27.75" customHeight="1">
      <c r="A677" s="2" t="n"/>
      <c r="B677" s="16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36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</row>
    <row r="678" ht="27.75" customHeight="1">
      <c r="A678" s="2" t="n"/>
      <c r="B678" s="16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36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</row>
    <row r="679" ht="27.75" customHeight="1">
      <c r="A679" s="2" t="n"/>
      <c r="B679" s="16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36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</row>
    <row r="680" ht="27.75" customHeight="1">
      <c r="A680" s="2" t="n"/>
      <c r="B680" s="16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36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</row>
    <row r="681" ht="27.75" customHeight="1">
      <c r="A681" s="2" t="n"/>
      <c r="B681" s="16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36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</row>
    <row r="682" ht="27.75" customHeight="1">
      <c r="A682" s="2" t="n"/>
      <c r="B682" s="16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36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</row>
    <row r="683" ht="27.75" customHeight="1">
      <c r="A683" s="2" t="n"/>
      <c r="B683" s="16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36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</row>
    <row r="684" ht="27.75" customHeight="1">
      <c r="A684" s="2" t="n"/>
      <c r="B684" s="16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36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</row>
    <row r="685" ht="27.75" customHeight="1">
      <c r="A685" s="2" t="n"/>
      <c r="B685" s="16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36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</row>
    <row r="686" ht="27.75" customHeight="1">
      <c r="A686" s="2" t="n"/>
      <c r="B686" s="16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36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</row>
    <row r="687" ht="27.75" customHeight="1">
      <c r="A687" s="2" t="n"/>
      <c r="B687" s="16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36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</row>
    <row r="688" ht="27.75" customHeight="1">
      <c r="A688" s="2" t="n"/>
      <c r="B688" s="16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36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</row>
    <row r="689" ht="27.75" customHeight="1">
      <c r="A689" s="2" t="n"/>
      <c r="B689" s="16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36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</row>
    <row r="690" ht="27.75" customHeight="1">
      <c r="A690" s="2" t="n"/>
      <c r="B690" s="16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36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</row>
    <row r="691" ht="27.75" customHeight="1">
      <c r="A691" s="2" t="n"/>
      <c r="B691" s="16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36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</row>
    <row r="692" ht="27.75" customHeight="1">
      <c r="A692" s="2" t="n"/>
      <c r="B692" s="16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36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</row>
    <row r="693" ht="27.75" customHeight="1">
      <c r="A693" s="2" t="n"/>
      <c r="B693" s="16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36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</row>
    <row r="694" ht="27.75" customHeight="1">
      <c r="A694" s="2" t="n"/>
      <c r="B694" s="16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36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</row>
    <row r="695" ht="27.75" customHeight="1">
      <c r="A695" s="2" t="n"/>
      <c r="B695" s="16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36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</row>
    <row r="696" ht="27.75" customHeight="1">
      <c r="A696" s="2" t="n"/>
      <c r="B696" s="16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36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</row>
    <row r="697" ht="27.75" customHeight="1">
      <c r="A697" s="2" t="n"/>
      <c r="B697" s="16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36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</row>
    <row r="698" ht="27.75" customHeight="1">
      <c r="A698" s="2" t="n"/>
      <c r="B698" s="16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36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</row>
    <row r="699" ht="27.75" customHeight="1">
      <c r="A699" s="2" t="n"/>
      <c r="B699" s="16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36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</row>
    <row r="700" ht="27.75" customHeight="1">
      <c r="A700" s="2" t="n"/>
      <c r="B700" s="16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36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</row>
    <row r="701" ht="27.75" customHeight="1">
      <c r="A701" s="2" t="n"/>
      <c r="B701" s="16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36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</row>
    <row r="702" ht="27.75" customHeight="1">
      <c r="A702" s="2" t="n"/>
      <c r="B702" s="16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36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</row>
    <row r="703" ht="27.75" customHeight="1">
      <c r="A703" s="2" t="n"/>
      <c r="B703" s="16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36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</row>
    <row r="704" ht="27.75" customHeight="1">
      <c r="A704" s="2" t="n"/>
      <c r="B704" s="16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36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</row>
    <row r="705" ht="27.75" customHeight="1">
      <c r="A705" s="2" t="n"/>
      <c r="B705" s="16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36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</row>
    <row r="706" ht="27.75" customHeight="1">
      <c r="A706" s="2" t="n"/>
      <c r="B706" s="16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36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</row>
    <row r="707" ht="27.75" customHeight="1">
      <c r="A707" s="2" t="n"/>
      <c r="B707" s="16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36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</row>
    <row r="708" ht="27.75" customHeight="1">
      <c r="A708" s="2" t="n"/>
      <c r="B708" s="16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36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</row>
    <row r="709" ht="27.75" customHeight="1">
      <c r="A709" s="2" t="n"/>
      <c r="B709" s="16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36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</row>
    <row r="710" ht="27.75" customHeight="1">
      <c r="A710" s="2" t="n"/>
      <c r="B710" s="16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36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</row>
    <row r="711" ht="27.75" customHeight="1">
      <c r="A711" s="2" t="n"/>
      <c r="B711" s="16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36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</row>
    <row r="712" ht="27.75" customHeight="1">
      <c r="A712" s="2" t="n"/>
      <c r="B712" s="16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36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</row>
    <row r="713" ht="27.75" customHeight="1">
      <c r="A713" s="2" t="n"/>
      <c r="B713" s="16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36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</row>
    <row r="714" ht="27.75" customHeight="1">
      <c r="A714" s="2" t="n"/>
      <c r="B714" s="16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36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</row>
    <row r="715" ht="27.75" customHeight="1">
      <c r="A715" s="2" t="n"/>
      <c r="B715" s="16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36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</row>
    <row r="716" ht="27.75" customHeight="1">
      <c r="A716" s="2" t="n"/>
      <c r="B716" s="16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36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</row>
    <row r="717" ht="27.75" customHeight="1">
      <c r="A717" s="2" t="n"/>
      <c r="B717" s="16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36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</row>
    <row r="718" ht="27.75" customHeight="1">
      <c r="A718" s="2" t="n"/>
      <c r="B718" s="16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36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</row>
    <row r="719" ht="27.75" customHeight="1">
      <c r="A719" s="2" t="n"/>
      <c r="B719" s="16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36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</row>
    <row r="720" ht="27.75" customHeight="1">
      <c r="A720" s="2" t="n"/>
      <c r="B720" s="16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36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</row>
    <row r="721" ht="27.75" customHeight="1">
      <c r="A721" s="2" t="n"/>
      <c r="B721" s="16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36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</row>
    <row r="722" ht="27.75" customHeight="1">
      <c r="A722" s="2" t="n"/>
      <c r="B722" s="16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36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</row>
    <row r="723" ht="27.75" customHeight="1">
      <c r="A723" s="2" t="n"/>
      <c r="B723" s="16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36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</row>
    <row r="724" ht="27.75" customHeight="1">
      <c r="A724" s="2" t="n"/>
      <c r="B724" s="16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36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</row>
    <row r="725" ht="27.75" customHeight="1">
      <c r="A725" s="2" t="n"/>
      <c r="B725" s="16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36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</row>
    <row r="726" ht="27.75" customHeight="1">
      <c r="A726" s="2" t="n"/>
      <c r="B726" s="16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36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</row>
    <row r="727" ht="27.75" customHeight="1">
      <c r="A727" s="2" t="n"/>
      <c r="B727" s="16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36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</row>
    <row r="728" ht="27.75" customHeight="1">
      <c r="A728" s="2" t="n"/>
      <c r="B728" s="16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36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</row>
    <row r="729" ht="27.75" customHeight="1">
      <c r="A729" s="2" t="n"/>
      <c r="B729" s="16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36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</row>
    <row r="730" ht="27.75" customHeight="1">
      <c r="A730" s="2" t="n"/>
      <c r="B730" s="16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36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</row>
    <row r="731" ht="27.75" customHeight="1">
      <c r="A731" s="2" t="n"/>
      <c r="B731" s="16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36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</row>
    <row r="732" ht="27.75" customHeight="1">
      <c r="A732" s="2" t="n"/>
      <c r="B732" s="16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36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</row>
    <row r="733" ht="27.75" customHeight="1">
      <c r="A733" s="2" t="n"/>
      <c r="B733" s="16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36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</row>
    <row r="734" ht="27.75" customHeight="1">
      <c r="A734" s="2" t="n"/>
      <c r="B734" s="16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36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</row>
    <row r="735" ht="27.75" customHeight="1">
      <c r="A735" s="2" t="n"/>
      <c r="B735" s="16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36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</row>
    <row r="736" ht="27.75" customHeight="1">
      <c r="A736" s="2" t="n"/>
      <c r="B736" s="16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36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</row>
    <row r="737" ht="27.75" customHeight="1">
      <c r="A737" s="2" t="n"/>
      <c r="B737" s="16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36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</row>
    <row r="738" ht="27.75" customHeight="1">
      <c r="A738" s="2" t="n"/>
      <c r="B738" s="16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36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</row>
    <row r="739" ht="27.75" customHeight="1">
      <c r="A739" s="2" t="n"/>
      <c r="B739" s="16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36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</row>
    <row r="740" ht="27.75" customHeight="1">
      <c r="A740" s="2" t="n"/>
      <c r="B740" s="16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36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</row>
    <row r="741" ht="27.75" customHeight="1">
      <c r="A741" s="2" t="n"/>
      <c r="B741" s="16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36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</row>
    <row r="742" ht="27.75" customHeight="1">
      <c r="A742" s="2" t="n"/>
      <c r="B742" s="16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36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</row>
    <row r="743" ht="27.75" customHeight="1">
      <c r="A743" s="2" t="n"/>
      <c r="B743" s="16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36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</row>
    <row r="744" ht="27.75" customHeight="1">
      <c r="A744" s="2" t="n"/>
      <c r="B744" s="16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36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</row>
    <row r="745" ht="27.75" customHeight="1">
      <c r="A745" s="2" t="n"/>
      <c r="B745" s="16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36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</row>
    <row r="746" ht="27.75" customHeight="1">
      <c r="A746" s="2" t="n"/>
      <c r="B746" s="16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36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</row>
    <row r="747" ht="27.75" customHeight="1">
      <c r="A747" s="2" t="n"/>
      <c r="B747" s="16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36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</row>
    <row r="748" ht="27.75" customHeight="1">
      <c r="A748" s="2" t="n"/>
      <c r="B748" s="16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36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</row>
    <row r="749" ht="27.75" customHeight="1">
      <c r="A749" s="2" t="n"/>
      <c r="B749" s="16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36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</row>
    <row r="750" ht="27.75" customHeight="1">
      <c r="A750" s="2" t="n"/>
      <c r="B750" s="16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36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</row>
    <row r="751" ht="27.75" customHeight="1">
      <c r="A751" s="2" t="n"/>
      <c r="B751" s="16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36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</row>
    <row r="752" ht="27.75" customHeight="1">
      <c r="A752" s="2" t="n"/>
      <c r="B752" s="16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36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</row>
    <row r="753" ht="27.75" customHeight="1">
      <c r="A753" s="2" t="n"/>
      <c r="B753" s="16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36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</row>
    <row r="754" ht="27.75" customHeight="1">
      <c r="A754" s="2" t="n"/>
      <c r="B754" s="16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36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</row>
    <row r="755" ht="27.75" customHeight="1">
      <c r="A755" s="2" t="n"/>
      <c r="B755" s="16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36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</row>
    <row r="756" ht="27.75" customHeight="1">
      <c r="A756" s="2" t="n"/>
      <c r="B756" s="16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36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</row>
    <row r="757" ht="27.75" customHeight="1">
      <c r="A757" s="2" t="n"/>
      <c r="B757" s="16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36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</row>
    <row r="758" ht="27.75" customHeight="1">
      <c r="A758" s="2" t="n"/>
      <c r="B758" s="16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36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</row>
    <row r="759" ht="27.75" customHeight="1">
      <c r="A759" s="2" t="n"/>
      <c r="B759" s="16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36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</row>
    <row r="760" ht="27.75" customHeight="1">
      <c r="A760" s="2" t="n"/>
      <c r="B760" s="16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36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</row>
    <row r="761" ht="27.75" customHeight="1">
      <c r="A761" s="2" t="n"/>
      <c r="B761" s="16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36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</row>
    <row r="762" ht="27.75" customHeight="1">
      <c r="A762" s="2" t="n"/>
      <c r="B762" s="16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36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</row>
    <row r="763" ht="27.75" customHeight="1">
      <c r="A763" s="2" t="n"/>
      <c r="B763" s="16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36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</row>
    <row r="764" ht="27.75" customHeight="1">
      <c r="A764" s="2" t="n"/>
      <c r="B764" s="16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36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</row>
    <row r="765" ht="27.75" customHeight="1">
      <c r="A765" s="2" t="n"/>
      <c r="B765" s="16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36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</row>
    <row r="766" ht="27.75" customHeight="1">
      <c r="A766" s="2" t="n"/>
      <c r="B766" s="16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36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</row>
    <row r="767" ht="27.75" customHeight="1">
      <c r="A767" s="2" t="n"/>
      <c r="B767" s="16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36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</row>
    <row r="768" ht="27.75" customHeight="1">
      <c r="A768" s="2" t="n"/>
      <c r="B768" s="16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36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</row>
    <row r="769" ht="27.75" customHeight="1">
      <c r="A769" s="2" t="n"/>
      <c r="B769" s="16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36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</row>
    <row r="770" ht="27.75" customHeight="1">
      <c r="A770" s="2" t="n"/>
      <c r="B770" s="16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36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</row>
    <row r="771" ht="27.75" customHeight="1">
      <c r="A771" s="2" t="n"/>
      <c r="B771" s="16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36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</row>
    <row r="772" ht="27.75" customHeight="1">
      <c r="A772" s="2" t="n"/>
      <c r="B772" s="16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36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</row>
    <row r="773" ht="27.75" customHeight="1">
      <c r="A773" s="2" t="n"/>
      <c r="B773" s="16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36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</row>
    <row r="774" ht="27.75" customHeight="1">
      <c r="A774" s="2" t="n"/>
      <c r="B774" s="16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36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</row>
    <row r="775" ht="27.75" customHeight="1">
      <c r="A775" s="2" t="n"/>
      <c r="B775" s="16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36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</row>
    <row r="776" ht="27.75" customHeight="1">
      <c r="A776" s="2" t="n"/>
      <c r="B776" s="16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36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</row>
    <row r="777" ht="27.75" customHeight="1">
      <c r="A777" s="2" t="n"/>
      <c r="B777" s="16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36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</row>
    <row r="778" ht="27.75" customHeight="1">
      <c r="A778" s="2" t="n"/>
      <c r="B778" s="16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36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</row>
    <row r="779" ht="27.75" customHeight="1">
      <c r="A779" s="2" t="n"/>
      <c r="B779" s="16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36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</row>
    <row r="780" ht="27.75" customHeight="1">
      <c r="A780" s="2" t="n"/>
      <c r="B780" s="16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36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</row>
    <row r="781" ht="27.75" customHeight="1">
      <c r="A781" s="2" t="n"/>
      <c r="B781" s="16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36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</row>
    <row r="782" ht="27.75" customHeight="1">
      <c r="A782" s="2" t="n"/>
      <c r="B782" s="16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36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</row>
    <row r="783" ht="27.75" customHeight="1">
      <c r="A783" s="2" t="n"/>
      <c r="B783" s="16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36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</row>
    <row r="784" ht="27.75" customHeight="1">
      <c r="A784" s="2" t="n"/>
      <c r="B784" s="16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36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</row>
    <row r="785" ht="27.75" customHeight="1">
      <c r="A785" s="2" t="n"/>
      <c r="B785" s="16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36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</row>
    <row r="786" ht="27.75" customHeight="1">
      <c r="A786" s="2" t="n"/>
      <c r="B786" s="16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36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</row>
    <row r="787" ht="27.75" customHeight="1">
      <c r="A787" s="2" t="n"/>
      <c r="B787" s="16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36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</row>
    <row r="788" ht="27.75" customHeight="1">
      <c r="A788" s="2" t="n"/>
      <c r="B788" s="16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36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</row>
    <row r="789" ht="27.75" customHeight="1">
      <c r="A789" s="2" t="n"/>
      <c r="B789" s="16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36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</row>
    <row r="790" ht="27.75" customHeight="1">
      <c r="A790" s="2" t="n"/>
      <c r="B790" s="16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36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</row>
    <row r="791" ht="27.75" customHeight="1">
      <c r="A791" s="2" t="n"/>
      <c r="B791" s="16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36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</row>
    <row r="792" ht="27.75" customHeight="1">
      <c r="A792" s="2" t="n"/>
      <c r="B792" s="16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36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</row>
    <row r="793" ht="27.75" customHeight="1">
      <c r="A793" s="2" t="n"/>
      <c r="B793" s="16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36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</row>
    <row r="794" ht="27.75" customHeight="1">
      <c r="A794" s="2" t="n"/>
      <c r="B794" s="16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36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</row>
    <row r="795" ht="27.75" customHeight="1">
      <c r="A795" s="2" t="n"/>
      <c r="B795" s="16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36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</row>
    <row r="796" ht="27.75" customHeight="1">
      <c r="A796" s="2" t="n"/>
      <c r="B796" s="16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36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</row>
    <row r="797" ht="27.75" customHeight="1">
      <c r="A797" s="2" t="n"/>
      <c r="B797" s="16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36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</row>
    <row r="798" ht="27.75" customHeight="1">
      <c r="A798" s="2" t="n"/>
      <c r="B798" s="16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36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</row>
    <row r="799" ht="27.75" customHeight="1">
      <c r="A799" s="2" t="n"/>
      <c r="B799" s="16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36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</row>
    <row r="800" ht="27.75" customHeight="1">
      <c r="A800" s="2" t="n"/>
      <c r="B800" s="16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36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</row>
    <row r="801" ht="27.75" customHeight="1">
      <c r="A801" s="2" t="n"/>
      <c r="B801" s="16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36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</row>
    <row r="802" ht="27.75" customHeight="1">
      <c r="A802" s="2" t="n"/>
      <c r="B802" s="16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36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</row>
    <row r="803" ht="27.75" customHeight="1">
      <c r="A803" s="2" t="n"/>
      <c r="B803" s="16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36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</row>
    <row r="804" ht="27.75" customHeight="1">
      <c r="A804" s="2" t="n"/>
      <c r="B804" s="16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36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</row>
    <row r="805" ht="27.75" customHeight="1">
      <c r="A805" s="2" t="n"/>
      <c r="B805" s="16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36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</row>
    <row r="806" ht="27.75" customHeight="1">
      <c r="A806" s="2" t="n"/>
      <c r="B806" s="16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36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</row>
    <row r="807" ht="27.75" customHeight="1">
      <c r="A807" s="2" t="n"/>
      <c r="B807" s="16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36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</row>
    <row r="808" ht="27.75" customHeight="1">
      <c r="A808" s="2" t="n"/>
      <c r="B808" s="16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36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</row>
    <row r="809" ht="27.75" customHeight="1">
      <c r="A809" s="2" t="n"/>
      <c r="B809" s="16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36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</row>
    <row r="810" ht="27.75" customHeight="1">
      <c r="A810" s="2" t="n"/>
      <c r="B810" s="16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36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</row>
    <row r="811" ht="27.75" customHeight="1">
      <c r="A811" s="2" t="n"/>
      <c r="B811" s="16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36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</row>
    <row r="812" ht="27.75" customHeight="1">
      <c r="A812" s="2" t="n"/>
      <c r="B812" s="16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36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</row>
    <row r="813" ht="27.75" customHeight="1">
      <c r="A813" s="2" t="n"/>
      <c r="B813" s="16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36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</row>
    <row r="814" ht="27.75" customHeight="1">
      <c r="A814" s="2" t="n"/>
      <c r="B814" s="16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36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</row>
    <row r="815" ht="27.75" customHeight="1">
      <c r="A815" s="2" t="n"/>
      <c r="B815" s="16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36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</row>
    <row r="816" ht="27.75" customHeight="1">
      <c r="A816" s="2" t="n"/>
      <c r="B816" s="16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36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</row>
    <row r="817" ht="27.75" customHeight="1">
      <c r="A817" s="2" t="n"/>
      <c r="B817" s="16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36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</row>
    <row r="818" ht="27.75" customHeight="1">
      <c r="A818" s="2" t="n"/>
      <c r="B818" s="16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36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</row>
    <row r="819" ht="27.75" customHeight="1">
      <c r="A819" s="2" t="n"/>
      <c r="B819" s="16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36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</row>
    <row r="820" ht="27.75" customHeight="1">
      <c r="A820" s="2" t="n"/>
      <c r="B820" s="16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36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</row>
    <row r="821" ht="27.75" customHeight="1">
      <c r="A821" s="2" t="n"/>
      <c r="B821" s="16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36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</row>
    <row r="822" ht="27.75" customHeight="1">
      <c r="A822" s="2" t="n"/>
      <c r="B822" s="16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36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</row>
    <row r="823" ht="27.75" customHeight="1">
      <c r="A823" s="2" t="n"/>
      <c r="B823" s="16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36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</row>
    <row r="824" ht="27.75" customHeight="1">
      <c r="A824" s="2" t="n"/>
      <c r="B824" s="16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36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</row>
    <row r="825" ht="27.75" customHeight="1">
      <c r="A825" s="2" t="n"/>
      <c r="B825" s="16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36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</row>
    <row r="826" ht="27.75" customHeight="1">
      <c r="A826" s="2" t="n"/>
      <c r="B826" s="16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36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</row>
    <row r="827" ht="27.75" customHeight="1">
      <c r="A827" s="2" t="n"/>
      <c r="B827" s="16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36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</row>
    <row r="828" ht="27.75" customHeight="1">
      <c r="A828" s="2" t="n"/>
      <c r="B828" s="16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36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</row>
    <row r="829" ht="27.75" customHeight="1">
      <c r="A829" s="2" t="n"/>
      <c r="B829" s="16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36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</row>
    <row r="830" ht="27.75" customHeight="1">
      <c r="A830" s="2" t="n"/>
      <c r="B830" s="16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36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</row>
    <row r="831" ht="27.75" customHeight="1">
      <c r="A831" s="2" t="n"/>
      <c r="B831" s="16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36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</row>
    <row r="832" ht="27.75" customHeight="1">
      <c r="A832" s="2" t="n"/>
      <c r="B832" s="16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36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</row>
    <row r="833" ht="27.75" customHeight="1">
      <c r="A833" s="2" t="n"/>
      <c r="B833" s="16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36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</row>
    <row r="834" ht="27.75" customHeight="1">
      <c r="A834" s="2" t="n"/>
      <c r="B834" s="16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36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</row>
    <row r="835" ht="27.75" customHeight="1">
      <c r="A835" s="2" t="n"/>
      <c r="B835" s="16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36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</row>
    <row r="836" ht="27.75" customHeight="1">
      <c r="A836" s="2" t="n"/>
      <c r="B836" s="16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36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</row>
    <row r="837" ht="27.75" customHeight="1">
      <c r="A837" s="2" t="n"/>
      <c r="B837" s="16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36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</row>
    <row r="838" ht="27.75" customHeight="1">
      <c r="A838" s="2" t="n"/>
      <c r="B838" s="16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36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</row>
    <row r="839" ht="27.75" customHeight="1">
      <c r="A839" s="2" t="n"/>
      <c r="B839" s="16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36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</row>
    <row r="840" ht="27.75" customHeight="1">
      <c r="A840" s="2" t="n"/>
      <c r="B840" s="16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36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</row>
    <row r="841" ht="27.75" customHeight="1">
      <c r="A841" s="2" t="n"/>
      <c r="B841" s="16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36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</row>
    <row r="842" ht="27.75" customHeight="1">
      <c r="A842" s="2" t="n"/>
      <c r="B842" s="16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36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</row>
    <row r="843" ht="27.75" customHeight="1">
      <c r="A843" s="2" t="n"/>
      <c r="B843" s="16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36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</row>
    <row r="844" ht="27.75" customHeight="1">
      <c r="A844" s="2" t="n"/>
      <c r="B844" s="16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36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</row>
    <row r="845" ht="27.75" customHeight="1">
      <c r="A845" s="2" t="n"/>
      <c r="B845" s="16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36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</row>
    <row r="846" ht="27.75" customHeight="1">
      <c r="A846" s="2" t="n"/>
      <c r="B846" s="16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36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</row>
    <row r="847" ht="27.75" customHeight="1">
      <c r="A847" s="2" t="n"/>
      <c r="B847" s="16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36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</row>
    <row r="848" ht="27.75" customHeight="1">
      <c r="A848" s="2" t="n"/>
      <c r="B848" s="16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36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</row>
    <row r="849" ht="27.75" customHeight="1">
      <c r="A849" s="2" t="n"/>
      <c r="B849" s="16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36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</row>
    <row r="850" ht="27.75" customHeight="1">
      <c r="A850" s="2" t="n"/>
      <c r="B850" s="16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36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</row>
    <row r="851" ht="27.75" customHeight="1">
      <c r="A851" s="2" t="n"/>
      <c r="B851" s="16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36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</row>
    <row r="852" ht="27.75" customHeight="1">
      <c r="A852" s="2" t="n"/>
      <c r="B852" s="16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36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</row>
    <row r="853" ht="27.75" customHeight="1">
      <c r="A853" s="2" t="n"/>
      <c r="B853" s="16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36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</row>
    <row r="854" ht="27.75" customHeight="1">
      <c r="A854" s="2" t="n"/>
      <c r="B854" s="16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36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</row>
    <row r="855" ht="27.75" customHeight="1">
      <c r="A855" s="2" t="n"/>
      <c r="B855" s="16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36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</row>
    <row r="856" ht="27.75" customHeight="1">
      <c r="A856" s="2" t="n"/>
      <c r="B856" s="16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36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</row>
    <row r="857" ht="27.75" customHeight="1">
      <c r="A857" s="2" t="n"/>
      <c r="B857" s="16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36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</row>
    <row r="858" ht="27.75" customHeight="1">
      <c r="A858" s="2" t="n"/>
      <c r="B858" s="16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36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</row>
    <row r="859" ht="27.75" customHeight="1">
      <c r="A859" s="2" t="n"/>
      <c r="B859" s="16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36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</row>
    <row r="860" ht="27.75" customHeight="1">
      <c r="A860" s="2" t="n"/>
      <c r="B860" s="16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36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</row>
    <row r="861" ht="27.75" customHeight="1">
      <c r="A861" s="2" t="n"/>
      <c r="B861" s="16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36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</row>
    <row r="862" ht="27.75" customHeight="1">
      <c r="A862" s="2" t="n"/>
      <c r="B862" s="16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36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</row>
    <row r="863" ht="27.75" customHeight="1">
      <c r="A863" s="2" t="n"/>
      <c r="B863" s="16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36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</row>
    <row r="864" ht="27.75" customHeight="1">
      <c r="A864" s="2" t="n"/>
      <c r="B864" s="16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36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</row>
    <row r="865" ht="27.75" customHeight="1">
      <c r="A865" s="2" t="n"/>
      <c r="B865" s="16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36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</row>
    <row r="866" ht="27.75" customHeight="1">
      <c r="A866" s="2" t="n"/>
      <c r="B866" s="16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36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</row>
    <row r="867" ht="27.75" customHeight="1">
      <c r="A867" s="2" t="n"/>
      <c r="B867" s="16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36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</row>
    <row r="868" ht="27.75" customHeight="1">
      <c r="A868" s="2" t="n"/>
      <c r="B868" s="16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36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</row>
    <row r="869" ht="27.75" customHeight="1">
      <c r="A869" s="2" t="n"/>
      <c r="B869" s="16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36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</row>
    <row r="870" ht="27.75" customHeight="1">
      <c r="A870" s="2" t="n"/>
      <c r="B870" s="16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36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</row>
    <row r="871" ht="27.75" customHeight="1">
      <c r="A871" s="2" t="n"/>
      <c r="B871" s="16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36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</row>
    <row r="872" ht="27.75" customHeight="1">
      <c r="A872" s="2" t="n"/>
      <c r="B872" s="16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36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</row>
    <row r="873" ht="27.75" customHeight="1">
      <c r="A873" s="2" t="n"/>
      <c r="B873" s="16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36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</row>
    <row r="874" ht="27.75" customHeight="1">
      <c r="A874" s="2" t="n"/>
      <c r="B874" s="16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36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</row>
    <row r="875" ht="27.75" customHeight="1">
      <c r="A875" s="2" t="n"/>
      <c r="B875" s="16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36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</row>
    <row r="876" ht="27.75" customHeight="1">
      <c r="A876" s="2" t="n"/>
      <c r="B876" s="16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36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</row>
    <row r="877" ht="27.75" customHeight="1">
      <c r="A877" s="2" t="n"/>
      <c r="B877" s="16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36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</row>
    <row r="878" ht="27.75" customHeight="1">
      <c r="A878" s="2" t="n"/>
      <c r="B878" s="16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36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</row>
    <row r="879" ht="27.75" customHeight="1">
      <c r="A879" s="2" t="n"/>
      <c r="B879" s="16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36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</row>
    <row r="880" ht="27.75" customHeight="1">
      <c r="A880" s="2" t="n"/>
      <c r="B880" s="16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36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</row>
    <row r="881" ht="27.75" customHeight="1">
      <c r="A881" s="2" t="n"/>
      <c r="B881" s="16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36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</row>
    <row r="882" ht="27.75" customHeight="1">
      <c r="A882" s="2" t="n"/>
      <c r="B882" s="16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36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</row>
    <row r="883" ht="27.75" customHeight="1">
      <c r="A883" s="2" t="n"/>
      <c r="B883" s="16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36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</row>
    <row r="884" ht="27.75" customHeight="1">
      <c r="A884" s="2" t="n"/>
      <c r="B884" s="16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36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</row>
    <row r="885" ht="27.75" customHeight="1">
      <c r="A885" s="2" t="n"/>
      <c r="B885" s="16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36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</row>
    <row r="886" ht="27.75" customHeight="1">
      <c r="A886" s="2" t="n"/>
      <c r="B886" s="16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36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</row>
    <row r="887" ht="27.75" customHeight="1">
      <c r="A887" s="2" t="n"/>
      <c r="B887" s="16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36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</row>
    <row r="888" ht="27.75" customHeight="1">
      <c r="A888" s="2" t="n"/>
      <c r="B888" s="16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36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</row>
    <row r="889" ht="27.75" customHeight="1">
      <c r="A889" s="2" t="n"/>
      <c r="B889" s="16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36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</row>
    <row r="890" ht="27.75" customHeight="1">
      <c r="A890" s="2" t="n"/>
      <c r="B890" s="16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36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</row>
    <row r="891" ht="27.75" customHeight="1">
      <c r="A891" s="2" t="n"/>
      <c r="B891" s="16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36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</row>
    <row r="892" ht="27.75" customHeight="1">
      <c r="A892" s="2" t="n"/>
      <c r="B892" s="16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36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</row>
    <row r="893" ht="27.75" customHeight="1">
      <c r="A893" s="2" t="n"/>
      <c r="B893" s="16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36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</row>
    <row r="894" ht="27.75" customHeight="1">
      <c r="A894" s="2" t="n"/>
      <c r="B894" s="16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36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</row>
    <row r="895" ht="27.75" customHeight="1">
      <c r="A895" s="2" t="n"/>
      <c r="B895" s="16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36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</row>
    <row r="896" ht="27.75" customHeight="1">
      <c r="A896" s="2" t="n"/>
      <c r="B896" s="16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36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</row>
    <row r="897" ht="27.75" customHeight="1">
      <c r="A897" s="2" t="n"/>
      <c r="B897" s="16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36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</row>
    <row r="898" ht="27.75" customHeight="1">
      <c r="A898" s="2" t="n"/>
      <c r="B898" s="16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36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</row>
    <row r="899" ht="27.75" customHeight="1">
      <c r="A899" s="2" t="n"/>
      <c r="B899" s="16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36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</row>
    <row r="900" ht="27.75" customHeight="1">
      <c r="A900" s="2" t="n"/>
      <c r="B900" s="16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36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</row>
    <row r="901" ht="27.75" customHeight="1">
      <c r="A901" s="2" t="n"/>
      <c r="B901" s="16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36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</row>
    <row r="902" ht="27.75" customHeight="1">
      <c r="A902" s="2" t="n"/>
      <c r="B902" s="16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36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</row>
    <row r="903" ht="27.75" customHeight="1">
      <c r="A903" s="2" t="n"/>
      <c r="B903" s="16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36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</row>
    <row r="904" ht="27.75" customHeight="1">
      <c r="A904" s="2" t="n"/>
      <c r="B904" s="16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36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</row>
    <row r="905" ht="27.75" customHeight="1">
      <c r="A905" s="2" t="n"/>
      <c r="B905" s="16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36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</row>
    <row r="906" ht="27.75" customHeight="1">
      <c r="A906" s="2" t="n"/>
      <c r="B906" s="16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36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</row>
    <row r="907" ht="27.75" customHeight="1">
      <c r="A907" s="2" t="n"/>
      <c r="B907" s="16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36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</row>
    <row r="908" ht="27.75" customHeight="1">
      <c r="A908" s="2" t="n"/>
      <c r="B908" s="16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36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</row>
    <row r="909" ht="27.75" customHeight="1">
      <c r="A909" s="2" t="n"/>
      <c r="B909" s="16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36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</row>
    <row r="910" ht="27.75" customHeight="1">
      <c r="A910" s="2" t="n"/>
      <c r="B910" s="16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36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</row>
    <row r="911" ht="27.75" customHeight="1">
      <c r="A911" s="2" t="n"/>
      <c r="B911" s="16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36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</row>
    <row r="912" ht="27.75" customHeight="1">
      <c r="A912" s="2" t="n"/>
      <c r="B912" s="16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36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</row>
    <row r="913" ht="27.75" customHeight="1">
      <c r="A913" s="2" t="n"/>
      <c r="B913" s="16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36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</row>
    <row r="914" ht="27.75" customHeight="1">
      <c r="A914" s="2" t="n"/>
      <c r="B914" s="16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36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</row>
    <row r="915" ht="27.75" customHeight="1">
      <c r="A915" s="2" t="n"/>
      <c r="B915" s="16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36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</row>
    <row r="916" ht="27.75" customHeight="1">
      <c r="A916" s="2" t="n"/>
      <c r="B916" s="16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36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</row>
    <row r="917" ht="27.75" customHeight="1">
      <c r="A917" s="2" t="n"/>
      <c r="B917" s="16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36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</row>
    <row r="918" ht="27.75" customHeight="1">
      <c r="A918" s="2" t="n"/>
      <c r="B918" s="16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36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</row>
    <row r="919" ht="27.75" customHeight="1">
      <c r="A919" s="2" t="n"/>
      <c r="B919" s="16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36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</row>
    <row r="920" ht="27.75" customHeight="1">
      <c r="A920" s="2" t="n"/>
      <c r="B920" s="16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36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</row>
    <row r="921" ht="27.75" customHeight="1">
      <c r="A921" s="2" t="n"/>
      <c r="B921" s="16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36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</row>
    <row r="922" ht="27.75" customHeight="1">
      <c r="A922" s="2" t="n"/>
      <c r="B922" s="16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36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</row>
    <row r="923" ht="27.75" customHeight="1">
      <c r="A923" s="2" t="n"/>
      <c r="B923" s="16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36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</row>
    <row r="924" ht="27.75" customHeight="1">
      <c r="A924" s="2" t="n"/>
      <c r="B924" s="16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36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</row>
    <row r="925" ht="27.75" customHeight="1">
      <c r="A925" s="2" t="n"/>
      <c r="B925" s="16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36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</row>
    <row r="926" ht="27.75" customHeight="1">
      <c r="A926" s="2" t="n"/>
      <c r="B926" s="16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36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</row>
    <row r="927" ht="27.75" customHeight="1">
      <c r="A927" s="2" t="n"/>
      <c r="B927" s="16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36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</row>
    <row r="928" ht="27.75" customHeight="1">
      <c r="A928" s="2" t="n"/>
      <c r="B928" s="16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36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</row>
    <row r="929" ht="27.75" customHeight="1">
      <c r="A929" s="2" t="n"/>
      <c r="B929" s="16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36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</row>
    <row r="930" ht="27.75" customHeight="1">
      <c r="A930" s="2" t="n"/>
      <c r="B930" s="16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36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</row>
    <row r="931" ht="27.75" customHeight="1">
      <c r="A931" s="2" t="n"/>
      <c r="B931" s="16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36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</row>
    <row r="932" ht="27.75" customHeight="1">
      <c r="A932" s="2" t="n"/>
      <c r="B932" s="16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36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</row>
    <row r="933" ht="27.75" customHeight="1">
      <c r="A933" s="2" t="n"/>
      <c r="B933" s="16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36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</row>
    <row r="934" ht="27.75" customHeight="1">
      <c r="A934" s="2" t="n"/>
      <c r="B934" s="16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36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</row>
    <row r="935" ht="27.75" customHeight="1">
      <c r="A935" s="2" t="n"/>
      <c r="B935" s="16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36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</row>
    <row r="936" ht="27.75" customHeight="1">
      <c r="A936" s="2" t="n"/>
      <c r="B936" s="16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36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</row>
    <row r="937" ht="27.75" customHeight="1">
      <c r="A937" s="2" t="n"/>
      <c r="B937" s="16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36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</row>
    <row r="938" ht="27.75" customHeight="1">
      <c r="A938" s="2" t="n"/>
      <c r="B938" s="16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36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</row>
    <row r="939" ht="27.75" customHeight="1">
      <c r="A939" s="2" t="n"/>
      <c r="B939" s="16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36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</row>
    <row r="940" ht="27.75" customHeight="1">
      <c r="A940" s="2" t="n"/>
      <c r="B940" s="16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36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</row>
    <row r="941" ht="27.75" customHeight="1">
      <c r="A941" s="2" t="n"/>
      <c r="B941" s="16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36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</row>
    <row r="942" ht="27.75" customHeight="1">
      <c r="A942" s="2" t="n"/>
      <c r="B942" s="16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36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</row>
    <row r="943" ht="27.75" customHeight="1">
      <c r="A943" s="2" t="n"/>
      <c r="B943" s="16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36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</row>
    <row r="944" ht="27.75" customHeight="1">
      <c r="A944" s="2" t="n"/>
      <c r="B944" s="16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36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</row>
    <row r="945" ht="27.75" customHeight="1">
      <c r="A945" s="2" t="n"/>
      <c r="B945" s="16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36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</row>
    <row r="946" ht="27.75" customHeight="1">
      <c r="A946" s="2" t="n"/>
      <c r="B946" s="16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36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</row>
    <row r="947" ht="27.75" customHeight="1">
      <c r="A947" s="2" t="n"/>
      <c r="B947" s="16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36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</row>
    <row r="948" ht="27.75" customHeight="1">
      <c r="A948" s="2" t="n"/>
      <c r="B948" s="16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36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</row>
    <row r="949" ht="27.75" customHeight="1">
      <c r="A949" s="2" t="n"/>
      <c r="B949" s="16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36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</row>
    <row r="950" ht="27.75" customHeight="1">
      <c r="A950" s="2" t="n"/>
      <c r="B950" s="16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36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</row>
    <row r="951" ht="27.75" customHeight="1">
      <c r="A951" s="2" t="n"/>
      <c r="B951" s="16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36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</row>
    <row r="952" ht="27.75" customHeight="1">
      <c r="A952" s="2" t="n"/>
      <c r="B952" s="16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36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</row>
    <row r="953" ht="27.75" customHeight="1">
      <c r="A953" s="2" t="n"/>
      <c r="B953" s="16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36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</row>
    <row r="954" ht="27.75" customHeight="1">
      <c r="A954" s="2" t="n"/>
      <c r="B954" s="16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36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</row>
    <row r="955" ht="27.75" customHeight="1">
      <c r="A955" s="2" t="n"/>
      <c r="B955" s="16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36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</row>
    <row r="956" ht="27.75" customHeight="1">
      <c r="A956" s="2" t="n"/>
      <c r="B956" s="16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36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</row>
    <row r="957" ht="27.75" customHeight="1">
      <c r="A957" s="2" t="n"/>
      <c r="B957" s="16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36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</row>
    <row r="958" ht="27.75" customHeight="1">
      <c r="A958" s="2" t="n"/>
      <c r="B958" s="16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36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</row>
    <row r="959" ht="27.75" customHeight="1">
      <c r="A959" s="2" t="n"/>
      <c r="B959" s="16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36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</row>
    <row r="960" ht="27.75" customHeight="1">
      <c r="A960" s="2" t="n"/>
      <c r="B960" s="16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36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</row>
    <row r="961" ht="27.75" customHeight="1">
      <c r="A961" s="2" t="n"/>
      <c r="B961" s="16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36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</row>
    <row r="962" ht="27.75" customHeight="1">
      <c r="A962" s="2" t="n"/>
      <c r="B962" s="16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36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</row>
    <row r="963" ht="27.75" customHeight="1">
      <c r="A963" s="2" t="n"/>
      <c r="B963" s="16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36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</row>
    <row r="964" ht="27.75" customHeight="1">
      <c r="A964" s="2" t="n"/>
      <c r="B964" s="16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36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</row>
    <row r="965" ht="27.75" customHeight="1">
      <c r="A965" s="2" t="n"/>
      <c r="B965" s="16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36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</row>
    <row r="966" ht="27.75" customHeight="1">
      <c r="A966" s="2" t="n"/>
      <c r="B966" s="16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36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</row>
    <row r="967" ht="27.75" customHeight="1">
      <c r="A967" s="2" t="n"/>
      <c r="B967" s="16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36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</row>
    <row r="968" ht="27.75" customHeight="1">
      <c r="A968" s="2" t="n"/>
      <c r="B968" s="16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36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</row>
    <row r="969" ht="27.75" customHeight="1">
      <c r="A969" s="2" t="n"/>
      <c r="B969" s="16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36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</row>
    <row r="970" ht="27.75" customHeight="1">
      <c r="A970" s="2" t="n"/>
      <c r="B970" s="16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36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</row>
    <row r="971" ht="27.75" customHeight="1">
      <c r="A971" s="2" t="n"/>
      <c r="B971" s="16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36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</row>
    <row r="972" ht="27.75" customHeight="1">
      <c r="A972" s="2" t="n"/>
      <c r="B972" s="16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36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</row>
    <row r="973" ht="27.75" customHeight="1">
      <c r="A973" s="2" t="n"/>
      <c r="B973" s="16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36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</row>
    <row r="974" ht="27.75" customHeight="1">
      <c r="A974" s="2" t="n"/>
      <c r="B974" s="16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36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</row>
    <row r="975" ht="27.75" customHeight="1">
      <c r="A975" s="2" t="n"/>
      <c r="B975" s="16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36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</row>
    <row r="976" ht="27.75" customHeight="1">
      <c r="A976" s="2" t="n"/>
      <c r="B976" s="16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36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</row>
    <row r="977" ht="27.75" customHeight="1">
      <c r="A977" s="2" t="n"/>
      <c r="B977" s="16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36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</row>
    <row r="978" ht="27.75" customHeight="1">
      <c r="A978" s="2" t="n"/>
      <c r="B978" s="16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36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</row>
    <row r="979" ht="27.75" customHeight="1">
      <c r="A979" s="2" t="n"/>
      <c r="B979" s="16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36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</row>
    <row r="980" ht="27.75" customHeight="1">
      <c r="A980" s="2" t="n"/>
      <c r="B980" s="16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36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</row>
    <row r="981" ht="27.75" customHeight="1">
      <c r="A981" s="2" t="n"/>
      <c r="B981" s="16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36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</row>
    <row r="982" ht="27.75" customHeight="1">
      <c r="A982" s="2" t="n"/>
      <c r="B982" s="16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36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</row>
    <row r="983" ht="27.75" customHeight="1">
      <c r="A983" s="2" t="n"/>
      <c r="B983" s="16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36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</row>
    <row r="984" ht="27.75" customHeight="1">
      <c r="A984" s="2" t="n"/>
      <c r="B984" s="16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36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</row>
    <row r="985" ht="27.75" customHeight="1">
      <c r="A985" s="2" t="n"/>
      <c r="B985" s="16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36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</row>
    <row r="986" ht="27.75" customHeight="1">
      <c r="A986" s="2" t="n"/>
      <c r="B986" s="16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36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</row>
    <row r="987" ht="27.75" customHeight="1">
      <c r="A987" s="2" t="n"/>
      <c r="B987" s="16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36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n"/>
    </row>
    <row r="988" ht="27.75" customHeight="1">
      <c r="A988" s="2" t="n"/>
      <c r="B988" s="16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36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</row>
    <row r="989" ht="27.75" customHeight="1">
      <c r="A989" s="2" t="n"/>
      <c r="B989" s="16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36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  <c r="AB989" s="2" t="n"/>
    </row>
    <row r="990" ht="27.75" customHeight="1">
      <c r="A990" s="2" t="n"/>
      <c r="B990" s="16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36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</row>
    <row r="991" ht="27.75" customHeight="1">
      <c r="A991" s="2" t="n"/>
      <c r="B991" s="16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36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  <c r="AB991" s="2" t="n"/>
    </row>
    <row r="992" ht="27.75" customHeight="1">
      <c r="A992" s="2" t="n"/>
      <c r="B992" s="16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36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</row>
    <row r="993" ht="27.75" customHeight="1">
      <c r="A993" s="2" t="n"/>
      <c r="B993" s="16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36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  <c r="AB993" s="2" t="n"/>
    </row>
    <row r="994" ht="27.75" customHeight="1">
      <c r="A994" s="2" t="n"/>
      <c r="B994" s="16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36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  <c r="AB994" s="2" t="n"/>
    </row>
    <row r="995" ht="27.75" customHeight="1">
      <c r="A995" s="2" t="n"/>
      <c r="B995" s="16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36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  <c r="AB995" s="2" t="n"/>
    </row>
    <row r="996" ht="27.75" customHeight="1">
      <c r="A996" s="2" t="n"/>
      <c r="B996" s="16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36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  <c r="AB996" s="2" t="n"/>
    </row>
    <row r="997" ht="27.75" customHeight="1">
      <c r="A997" s="2" t="n"/>
      <c r="B997" s="16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36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  <c r="AB997" s="2" t="n"/>
    </row>
    <row r="998" ht="27.75" customHeight="1">
      <c r="A998" s="2" t="n"/>
      <c r="B998" s="16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36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  <c r="AB998" s="2" t="n"/>
    </row>
    <row r="999" ht="27.75" customHeight="1">
      <c r="A999" s="2" t="n"/>
      <c r="B999" s="16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36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  <c r="AB999" s="2" t="n"/>
    </row>
    <row r="1000" ht="27.75" customHeight="1">
      <c r="A1000" s="2" t="n"/>
      <c r="B1000" s="16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36" t="n"/>
      <c r="S1000" s="2" t="n"/>
      <c r="T1000" s="2" t="n"/>
      <c r="U1000" s="2" t="n"/>
    </row>
  </sheetData>
  <mergeCells count="60">
    <mergeCell ref="C3:J3"/>
    <mergeCell ref="A5:A9"/>
    <mergeCell ref="A30:Q30"/>
    <mergeCell ref="AH6:AH8"/>
    <mergeCell ref="A34:Q34"/>
    <mergeCell ref="V33:W33"/>
    <mergeCell ref="AE32:AL32"/>
    <mergeCell ref="V2:AL2"/>
    <mergeCell ref="AC6:AC8"/>
    <mergeCell ref="C5:J5"/>
    <mergeCell ref="AE6:AE8"/>
    <mergeCell ref="N6:N8"/>
    <mergeCell ref="O5:O8"/>
    <mergeCell ref="Q5:Q8"/>
    <mergeCell ref="W5:W8"/>
    <mergeCell ref="A1:Q1"/>
    <mergeCell ref="I6:I8"/>
    <mergeCell ref="K6:K8"/>
    <mergeCell ref="AB6:AB8"/>
    <mergeCell ref="L6:L8"/>
    <mergeCell ref="AB4:AL4"/>
    <mergeCell ref="AK5:AK8"/>
    <mergeCell ref="K3:Q3"/>
    <mergeCell ref="Z6:Z8"/>
    <mergeCell ref="V1:AL1"/>
    <mergeCell ref="AF3:AL3"/>
    <mergeCell ref="AE33:AL33"/>
    <mergeCell ref="A4:F4"/>
    <mergeCell ref="C6:C8"/>
    <mergeCell ref="D6:D8"/>
    <mergeCell ref="X3:AE3"/>
    <mergeCell ref="K5:N5"/>
    <mergeCell ref="F6:F8"/>
    <mergeCell ref="V5:V9"/>
    <mergeCell ref="AI6:AI8"/>
    <mergeCell ref="A33:B33"/>
    <mergeCell ref="A32:B32"/>
    <mergeCell ref="X5:AE5"/>
    <mergeCell ref="A2:Q2"/>
    <mergeCell ref="J32:Q32"/>
    <mergeCell ref="V32:W32"/>
    <mergeCell ref="AA6:AA8"/>
    <mergeCell ref="AG6:AG8"/>
    <mergeCell ref="J6:J8"/>
    <mergeCell ref="AJ5:AJ8"/>
    <mergeCell ref="AL5:AL8"/>
    <mergeCell ref="E6:E8"/>
    <mergeCell ref="B5:B8"/>
    <mergeCell ref="X6:X8"/>
    <mergeCell ref="AD6:AD8"/>
    <mergeCell ref="M6:M8"/>
    <mergeCell ref="G4:Q4"/>
    <mergeCell ref="AF6:AF8"/>
    <mergeCell ref="V4:AA4"/>
    <mergeCell ref="H6:H8"/>
    <mergeCell ref="J33:Q33"/>
    <mergeCell ref="G6:G8"/>
    <mergeCell ref="P5:P8"/>
    <mergeCell ref="Y6:Y8"/>
    <mergeCell ref="AF5:AI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3"/>
  <sheetViews>
    <sheetView zoomScale="61" zoomScaleNormal="56" workbookViewId="0">
      <selection activeCell="A2" sqref="A2:Q2"/>
    </sheetView>
  </sheetViews>
  <sheetFormatPr baseColWidth="8" defaultRowHeight="16.2"/>
  <cols>
    <col width="6" customWidth="1" style="18" min="1" max="1"/>
    <col width="27.6640625" customWidth="1" style="18" min="2" max="2"/>
    <col width="4.5546875" customWidth="1" style="18" min="3" max="18"/>
    <col width="8.88671875" customWidth="1" style="18" min="19" max="21"/>
    <col width="7" customWidth="1" style="18" min="22" max="22"/>
    <col width="30.77734375" customWidth="1" style="18" min="23" max="23"/>
    <col width="3.44140625" customWidth="1" style="18" min="24" max="35"/>
    <col width="3.88671875" customWidth="1" style="18" min="36" max="36"/>
    <col width="4.21875" customWidth="1" style="18" min="37" max="37"/>
    <col width="3.44140625" customWidth="1" style="18" min="38" max="38"/>
    <col width="4.5546875" customWidth="1" style="18" min="39" max="39"/>
    <col width="8.88671875" customWidth="1" style="18" min="40" max="40"/>
    <col width="8.88671875" customWidth="1" style="18" min="41" max="16384"/>
  </cols>
  <sheetData>
    <row r="1" ht="17.4" customHeight="1">
      <c r="A1" s="29" t="inlineStr">
        <is>
          <t>जि. प. प्रा. शाळा माळेगांव (च), ता. शिरूर (का), जि. बीड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6" t="n"/>
      <c r="S1" s="2" t="n"/>
      <c r="T1" s="2" t="n"/>
      <c r="U1" s="2" t="n"/>
      <c r="V1" s="29" t="inlineStr">
        <is>
          <t>जि. प. प्रा. शाळा माळेगांव (च), ता. शिरूर (का), जि. बीड</t>
        </is>
      </c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30" t="n"/>
      <c r="AM1" s="36" t="n"/>
    </row>
    <row r="2">
      <c r="A2" s="36" t="inlineStr">
        <is>
          <t>सातत्यपूर्ण सर्वंकष मूल्यमापन - प्रथम सत्र</t>
        </is>
      </c>
      <c r="R2" s="36" t="n"/>
      <c r="S2" s="2" t="n"/>
      <c r="T2" s="2" t="n"/>
      <c r="U2" s="2" t="n"/>
      <c r="V2" s="36" t="inlineStr">
        <is>
          <t>सातत्यपूर्ण सर्वंकष मूल्यमापन - व्दितीय सत्र</t>
        </is>
      </c>
      <c r="AM2" s="36" t="n"/>
    </row>
    <row r="3">
      <c r="A3" s="26" t="inlineStr">
        <is>
          <t>इ.-</t>
        </is>
      </c>
      <c r="B3" s="5" t="inlineStr">
        <is>
          <t>2 री</t>
        </is>
      </c>
      <c r="C3" s="35" t="inlineStr">
        <is>
          <t>सन 2026-27</t>
        </is>
      </c>
      <c r="K3" s="33" t="inlineStr">
        <is>
          <t>विषय- मराठी</t>
        </is>
      </c>
      <c r="R3" s="36" t="n"/>
      <c r="S3" s="2" t="n"/>
      <c r="T3" s="2" t="n"/>
      <c r="U3" s="2" t="n"/>
      <c r="V3" s="26" t="inlineStr">
        <is>
          <t>इ.-</t>
        </is>
      </c>
      <c r="W3" s="5" t="inlineStr">
        <is>
          <t>2री</t>
        </is>
      </c>
      <c r="X3" s="35" t="inlineStr">
        <is>
          <t>सन 2026-27</t>
        </is>
      </c>
      <c r="AF3" s="33" t="inlineStr">
        <is>
          <t>विषय- मराठी</t>
        </is>
      </c>
      <c r="AM3" s="36" t="n"/>
    </row>
    <row r="4">
      <c r="A4" s="34" t="n"/>
      <c r="G4" s="26" t="inlineStr">
        <is>
          <t>वर्ग शिक्षक- घोक्षे सर</t>
        </is>
      </c>
      <c r="R4" s="36" t="n"/>
      <c r="S4" s="2" t="n"/>
      <c r="T4" s="2" t="n"/>
      <c r="U4" s="2" t="n"/>
      <c r="V4" s="27" t="n"/>
      <c r="W4" s="28" t="n"/>
      <c r="X4" s="28" t="n"/>
      <c r="Y4" s="28" t="n"/>
      <c r="Z4" s="28" t="n"/>
      <c r="AA4" s="28" t="n"/>
      <c r="AB4" s="32" t="inlineStr">
        <is>
          <t>वर्ग शिक्षक- घोक्षे सर</t>
        </is>
      </c>
      <c r="AC4" s="28" t="n"/>
      <c r="AD4" s="28" t="n"/>
      <c r="AE4" s="28" t="n"/>
      <c r="AF4" s="28" t="n"/>
      <c r="AG4" s="28" t="n"/>
      <c r="AH4" s="28" t="n"/>
      <c r="AI4" s="28" t="n"/>
      <c r="AJ4" s="28" t="n"/>
      <c r="AK4" s="28" t="n"/>
      <c r="AL4" s="28" t="n"/>
      <c r="AM4" s="36" t="n"/>
    </row>
    <row r="5">
      <c r="A5" s="39" t="inlineStr">
        <is>
          <t>हजेरी क्रमांक</t>
        </is>
      </c>
      <c r="B5" s="31" t="inlineStr">
        <is>
          <t>विद्यार्थ्यांचे नाव</t>
        </is>
      </c>
      <c r="C5" s="23" t="inlineStr">
        <is>
          <t>अ (आकारिक मूल्यमापन)</t>
        </is>
      </c>
      <c r="D5" s="24" t="n"/>
      <c r="E5" s="24" t="n"/>
      <c r="F5" s="24" t="n"/>
      <c r="G5" s="24" t="n"/>
      <c r="H5" s="24" t="n"/>
      <c r="I5" s="24" t="n"/>
      <c r="J5" s="25" t="n"/>
      <c r="K5" s="23" t="inlineStr">
        <is>
          <t>ब (संकलित मूल्यमापन)</t>
        </is>
      </c>
      <c r="L5" s="24" t="n"/>
      <c r="M5" s="24" t="n"/>
      <c r="N5" s="25" t="n"/>
      <c r="O5" s="22" t="inlineStr">
        <is>
          <t>अ+ब एकूण गुण</t>
        </is>
      </c>
      <c r="P5" s="22" t="inlineStr">
        <is>
          <t>100त रुपांतर</t>
        </is>
      </c>
      <c r="Q5" s="38" t="inlineStr">
        <is>
          <t>श्रेणी कोड</t>
        </is>
      </c>
      <c r="R5" s="36" t="n"/>
      <c r="S5" s="2" t="n"/>
      <c r="T5" s="2" t="n"/>
      <c r="U5" s="2" t="n"/>
      <c r="V5" s="39" t="inlineStr">
        <is>
          <t>हजेरी क्रमांक</t>
        </is>
      </c>
      <c r="W5" s="31" t="inlineStr">
        <is>
          <t>विद्यार्थ्याचे नाव</t>
        </is>
      </c>
      <c r="X5" s="23" t="inlineStr">
        <is>
          <t>अ (आकारिक मूल्यमापन)</t>
        </is>
      </c>
      <c r="Y5" s="24" t="n"/>
      <c r="Z5" s="24" t="n"/>
      <c r="AA5" s="24" t="n"/>
      <c r="AB5" s="24" t="n"/>
      <c r="AC5" s="24" t="n"/>
      <c r="AD5" s="24" t="n"/>
      <c r="AE5" s="25" t="n"/>
      <c r="AF5" s="23" t="inlineStr">
        <is>
          <t>ब (संकलित मूल्यमापन)</t>
        </is>
      </c>
      <c r="AG5" s="24" t="n"/>
      <c r="AH5" s="24" t="n"/>
      <c r="AI5" s="25" t="n"/>
      <c r="AJ5" s="22" t="inlineStr">
        <is>
          <t>अ+ब एकूण गुण</t>
        </is>
      </c>
      <c r="AK5" s="22" t="inlineStr">
        <is>
          <t>100त रुपांतर</t>
        </is>
      </c>
      <c r="AL5" s="38" t="inlineStr">
        <is>
          <t>श्रेणी कोड</t>
        </is>
      </c>
      <c r="AM5" s="36" t="n"/>
    </row>
    <row r="6">
      <c r="A6" s="20" t="n"/>
      <c r="B6" s="20" t="n"/>
      <c r="C6" s="19" t="inlineStr">
        <is>
          <t>तोंडी काम</t>
        </is>
      </c>
      <c r="D6" s="19" t="inlineStr">
        <is>
          <t>प्रात्य./प्रयोग</t>
        </is>
      </c>
      <c r="E6" s="19" t="inlineStr">
        <is>
          <t>उपक्रम/कृती</t>
        </is>
      </c>
      <c r="F6" s="19" t="inlineStr">
        <is>
          <t>प्रकल्प</t>
        </is>
      </c>
      <c r="G6" s="19" t="inlineStr">
        <is>
          <t>चाचणी</t>
        </is>
      </c>
      <c r="H6" s="19" t="inlineStr">
        <is>
          <t>स्वाध्याय</t>
        </is>
      </c>
      <c r="I6" s="19" t="inlineStr">
        <is>
          <t>इतर</t>
        </is>
      </c>
      <c r="J6" s="37" t="inlineStr">
        <is>
          <t>एकूण (अ)</t>
        </is>
      </c>
      <c r="K6" s="19" t="inlineStr">
        <is>
          <t>तोंडी</t>
        </is>
      </c>
      <c r="L6" s="19" t="inlineStr">
        <is>
          <t>प्रात्यक्षिक</t>
        </is>
      </c>
      <c r="M6" s="19" t="inlineStr">
        <is>
          <t>लेखी</t>
        </is>
      </c>
      <c r="N6" s="37" t="inlineStr">
        <is>
          <t>एकूण (ब)</t>
        </is>
      </c>
      <c r="O6" s="20" t="n"/>
      <c r="P6" s="20" t="n"/>
      <c r="Q6" s="20" t="n"/>
      <c r="R6" s="36" t="n"/>
      <c r="S6" s="2" t="n"/>
      <c r="T6" s="2" t="n"/>
      <c r="U6" s="2" t="n"/>
      <c r="V6" s="20" t="n"/>
      <c r="W6" s="20" t="n"/>
      <c r="X6" s="19" t="inlineStr">
        <is>
          <t>तोंडी काम</t>
        </is>
      </c>
      <c r="Y6" s="19" t="inlineStr">
        <is>
          <t>प्रात्य./प्रयोग</t>
        </is>
      </c>
      <c r="Z6" s="19" t="inlineStr">
        <is>
          <t>उपक्रम/कृती</t>
        </is>
      </c>
      <c r="AA6" s="19" t="inlineStr">
        <is>
          <t>प्रकल्प</t>
        </is>
      </c>
      <c r="AB6" s="19" t="inlineStr">
        <is>
          <t>चाचणी</t>
        </is>
      </c>
      <c r="AC6" s="19" t="inlineStr">
        <is>
          <t>स्वाध्याय</t>
        </is>
      </c>
      <c r="AD6" s="19" t="inlineStr">
        <is>
          <t>इतर</t>
        </is>
      </c>
      <c r="AE6" s="37" t="inlineStr">
        <is>
          <t>एकूण (अ)</t>
        </is>
      </c>
      <c r="AF6" s="19" t="inlineStr">
        <is>
          <t>तोंडी</t>
        </is>
      </c>
      <c r="AG6" s="19" t="inlineStr">
        <is>
          <t>प्रात्यक्षिक</t>
        </is>
      </c>
      <c r="AH6" s="19" t="inlineStr">
        <is>
          <t>लेखी</t>
        </is>
      </c>
      <c r="AI6" s="37" t="inlineStr">
        <is>
          <t>एकूण (ब)</t>
        </is>
      </c>
      <c r="AJ6" s="20" t="n"/>
      <c r="AK6" s="20" t="n"/>
      <c r="AL6" s="20" t="n"/>
      <c r="AM6" s="36" t="n"/>
    </row>
    <row r="7">
      <c r="A7" s="20" t="n"/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36" t="n"/>
      <c r="S7" s="2" t="n"/>
      <c r="T7" s="2" t="n"/>
      <c r="U7" s="2" t="n"/>
      <c r="V7" s="20" t="n"/>
      <c r="W7" s="20" t="n"/>
      <c r="X7" s="20" t="n"/>
      <c r="Y7" s="20" t="n"/>
      <c r="Z7" s="20" t="n"/>
      <c r="AA7" s="20" t="n"/>
      <c r="AB7" s="20" t="n"/>
      <c r="AC7" s="20" t="n"/>
      <c r="AD7" s="20" t="n"/>
      <c r="AE7" s="20" t="n"/>
      <c r="AF7" s="20" t="n"/>
      <c r="AG7" s="20" t="n"/>
      <c r="AH7" s="20" t="n"/>
      <c r="AI7" s="20" t="n"/>
      <c r="AJ7" s="20" t="n"/>
      <c r="AK7" s="20" t="n"/>
      <c r="AL7" s="20" t="n"/>
      <c r="AM7" s="36" t="n"/>
    </row>
    <row r="8">
      <c r="A8" s="20" t="n"/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36" t="n"/>
      <c r="S8" s="2" t="n"/>
      <c r="T8" s="2" t="n"/>
      <c r="U8" s="2" t="n"/>
      <c r="V8" s="20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36" t="n"/>
    </row>
    <row r="9">
      <c r="A9" s="21" t="n"/>
      <c r="B9" s="6" t="inlineStr">
        <is>
          <t>तंत्रानिहाय भारांश=</t>
        </is>
      </c>
      <c r="C9" s="7" t="n">
        <v>10</v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n">
        <v>60</v>
      </c>
      <c r="K9" s="7" t="n">
        <v>10</v>
      </c>
      <c r="L9" s="7" t="inlineStr">
        <is>
          <t>-</t>
        </is>
      </c>
      <c r="M9" s="7" t="n">
        <v>30</v>
      </c>
      <c r="N9" s="7" t="n">
        <v>40</v>
      </c>
      <c r="O9" s="7">
        <f>SUM(J9,N9)</f>
        <v/>
      </c>
      <c r="P9" s="7">
        <f>IFERROR(ROUND(((O9)*100)/R9,0),0)</f>
        <v/>
      </c>
      <c r="Q9" s="8">
        <f>IF(P9&gt;=91,"अ-1",IF(P9&gt;=81,"अ-2",IF(P9&gt;=71,"ब-1",IF(P9&gt;=61,"ब-2",IF(P9&gt;=51,"क-1",IF(P9&gt;=41,"क-2",IF(P9&gt;=33,"ड",IF(P9&gt;=21,"इ-1",IF(P9&gt;=1,"इ-2","-")))))))))</f>
        <v/>
      </c>
      <c r="R9" s="36">
        <f>O9</f>
        <v/>
      </c>
      <c r="S9" s="2" t="n"/>
      <c r="T9" s="2" t="n"/>
      <c r="U9" s="2" t="n"/>
      <c r="V9" s="21" t="n"/>
      <c r="W9" s="6" t="inlineStr">
        <is>
          <t>तंत्रानिहाय भारांश=</t>
        </is>
      </c>
      <c r="X9" s="7" t="n">
        <v>10</v>
      </c>
      <c r="Y9" s="7" t="inlineStr">
        <is>
          <t>-</t>
        </is>
      </c>
      <c r="Z9" s="7" t="inlineStr">
        <is>
          <t>-</t>
        </is>
      </c>
      <c r="AA9" s="7" t="inlineStr">
        <is>
          <t>-</t>
        </is>
      </c>
      <c r="AB9" s="7" t="inlineStr">
        <is>
          <t>-</t>
        </is>
      </c>
      <c r="AC9" s="7" t="inlineStr">
        <is>
          <t>-</t>
        </is>
      </c>
      <c r="AD9" s="7" t="inlineStr">
        <is>
          <t>-</t>
        </is>
      </c>
      <c r="AE9" s="7" t="n">
        <v>60</v>
      </c>
      <c r="AF9" s="7" t="n">
        <v>10</v>
      </c>
      <c r="AG9" s="7" t="inlineStr">
        <is>
          <t>-</t>
        </is>
      </c>
      <c r="AH9" s="7" t="n">
        <v>30</v>
      </c>
      <c r="AI9" s="7" t="n">
        <v>40</v>
      </c>
      <c r="AJ9" s="7">
        <f>SUM(AE9,AI9)</f>
        <v/>
      </c>
      <c r="AK9" s="7">
        <f>IFERROR(ROUND(((AJ9)*100)/AM9,0),0)</f>
        <v/>
      </c>
      <c r="AL9" s="8">
        <f>IF(AK9&gt;=91,"अ-1",IF(AK9&gt;=81,"अ-2",IF(AK9&gt;=71,"ब-1",IF(AK9&gt;=61,"ब-2",IF(AK9&gt;=51,"क-1",IF(AK9&gt;=41,"क-2",IF(AK9&gt;=33,"ड",IF(AK9&gt;=21,"इ-1",IF(AK9&gt;=1,"इ-2","-")))))))))</f>
        <v/>
      </c>
      <c r="AM9" s="36">
        <f>AJ9</f>
        <v/>
      </c>
    </row>
    <row r="10">
      <c r="A10" s="9">
        <f>'[1]विद्यार्थी माहिती'!A10</f>
        <v/>
      </c>
      <c r="B10" s="10" t="inlineStr">
        <is>
          <t>Vicky shirsat</t>
        </is>
      </c>
      <c r="C10" s="11" t="n">
        <v>44</v>
      </c>
      <c r="D10" s="11" t="n">
        <v>6</v>
      </c>
      <c r="E10" s="11" t="n">
        <v>77</v>
      </c>
      <c r="F10" s="11" t="n">
        <v>6</v>
      </c>
      <c r="G10" s="11" t="n">
        <v>6</v>
      </c>
      <c r="H10" s="11" t="n">
        <v>6</v>
      </c>
      <c r="I10" s="11" t="n">
        <v>0</v>
      </c>
      <c r="J10" s="12">
        <f>SUM(C10:I10)</f>
        <v/>
      </c>
      <c r="K10" s="11" t="n">
        <v>23</v>
      </c>
      <c r="L10" s="11" t="n">
        <v>44</v>
      </c>
      <c r="M10" s="11" t="n">
        <v>5</v>
      </c>
      <c r="N10" s="12">
        <f>SUM(K10:M10)</f>
        <v/>
      </c>
      <c r="O10" s="12">
        <f>SUM(J10,N10)</f>
        <v/>
      </c>
      <c r="P10" s="12">
        <f>IFERROR(ROUND(((O10)*100)/R10,0),0)</f>
        <v/>
      </c>
      <c r="Q10" s="13">
        <f>IF(P10&gt;=91,"अ-1",IF(P10&gt;=81,"अ-2",IF(P10&gt;=71,"ब-1",IF(P10&gt;=61,"ब-2",IF(P10&gt;=51,"क-1",IF(P10&gt;=41,"क-2",IF(P10&gt;=33,"ड",IF(P10&gt;=21,"इ-1",IF(P10&gt;=1,"इ-2","-")))))))))</f>
        <v/>
      </c>
      <c r="R10" s="36">
        <f>R9</f>
        <v/>
      </c>
      <c r="S10" s="14" t="n"/>
      <c r="T10" s="2" t="n"/>
      <c r="U10" s="14" t="n"/>
      <c r="V10" s="9" t="n">
        <v>1</v>
      </c>
      <c r="W10" s="10" t="n"/>
      <c r="X10" s="11" t="n"/>
      <c r="Y10" s="11" t="n"/>
      <c r="Z10" s="11" t="n"/>
      <c r="AA10" s="11" t="n"/>
      <c r="AB10" s="11" t="n"/>
      <c r="AC10" s="11" t="n"/>
      <c r="AD10" s="11" t="n"/>
      <c r="AE10" s="12">
        <f>SUM(X10:AD10)</f>
        <v/>
      </c>
      <c r="AF10" s="11" t="n"/>
      <c r="AG10" s="11" t="n"/>
      <c r="AH10" s="11" t="n"/>
      <c r="AI10" s="12">
        <f>SUM(AF10:AH10)</f>
        <v/>
      </c>
      <c r="AJ10" s="12">
        <f>SUM(AE10,AI10)</f>
        <v/>
      </c>
      <c r="AK10" s="12">
        <f>IFERROR(ROUND(((AJ10)*100)/AM10,0),0)</f>
        <v/>
      </c>
      <c r="AL10" s="13">
        <f>IF(AK10&gt;=91,"अ-1",IF(AK10&gt;=81,"अ-2",IF(AK10&gt;=71,"ब-1",IF(AK10&gt;=61,"ब-2",IF(AK10&gt;=51,"क-1",IF(AK10&gt;=41,"क-2",IF(AK10&gt;=33,"ड",IF(AK10&gt;=21,"इ-1",IF(AK10&gt;=1,"इ-2","-")))))))))</f>
        <v/>
      </c>
      <c r="AM10" s="36">
        <f>AM9</f>
        <v/>
      </c>
    </row>
    <row r="11">
      <c r="A11" s="9">
        <f>'[1]विद्यार्थी माहिती'!A11</f>
        <v/>
      </c>
      <c r="B11" s="10" t="inlineStr">
        <is>
          <t>kishor prabhakar</t>
        </is>
      </c>
      <c r="C11" s="11" t="n">
        <v>10</v>
      </c>
      <c r="D11" s="11" t="n">
        <v>20</v>
      </c>
      <c r="E11" s="11" t="n">
        <v>15</v>
      </c>
      <c r="F11" s="11" t="n">
        <v>22</v>
      </c>
      <c r="G11" s="11" t="n">
        <v>11</v>
      </c>
      <c r="H11" s="11" t="n">
        <v>8</v>
      </c>
      <c r="I11" s="11" t="n">
        <v>5</v>
      </c>
      <c r="J11" s="12">
        <f>SUM(C11:I11)</f>
        <v/>
      </c>
      <c r="K11" s="11" t="n">
        <v>44</v>
      </c>
      <c r="L11" s="11" t="n">
        <v>1</v>
      </c>
      <c r="M11" s="11" t="n">
        <v>1</v>
      </c>
      <c r="N11" s="12">
        <f>SUM(K11:M11)</f>
        <v/>
      </c>
      <c r="O11" s="12">
        <f>SUM(J11,N11)</f>
        <v/>
      </c>
      <c r="P11" s="12">
        <f>IFERROR(ROUND(((O11)*100)/R11,0),0)</f>
        <v/>
      </c>
      <c r="Q11" s="13">
        <f>IF(P11&gt;=91,"अ-1",IF(P11&gt;=81,"अ-2",IF(P11&gt;=71,"ब-1",IF(P11&gt;=61,"ब-2",IF(P11&gt;=51,"क-1",IF(P11&gt;=41,"क-2",IF(P11&gt;=33,"ड",IF(P11&gt;=21,"इ-1",IF(P11&gt;=1,"इ-2","-")))))))))</f>
        <v/>
      </c>
      <c r="R11" s="36">
        <f>R10</f>
        <v/>
      </c>
      <c r="S11" s="14" t="n"/>
      <c r="T11" s="2" t="n"/>
      <c r="U11" s="14" t="n"/>
      <c r="V11" s="9" t="n">
        <v>2</v>
      </c>
      <c r="W11" s="10" t="n"/>
      <c r="X11" s="11" t="n"/>
      <c r="Y11" s="11" t="n"/>
      <c r="Z11" s="11" t="n"/>
      <c r="AA11" s="11" t="n"/>
      <c r="AB11" s="11" t="n"/>
      <c r="AC11" s="11" t="n"/>
      <c r="AD11" s="11" t="n"/>
      <c r="AE11" s="12">
        <f>SUM(X11:AD11)</f>
        <v/>
      </c>
      <c r="AF11" s="11" t="n"/>
      <c r="AG11" s="11" t="n"/>
      <c r="AH11" s="11" t="n"/>
      <c r="AI11" s="12">
        <f>SUM(AF11:AH11)</f>
        <v/>
      </c>
      <c r="AJ11" s="12">
        <f>SUM(AE11,AI11)</f>
        <v/>
      </c>
      <c r="AK11" s="12">
        <f>IFERROR(ROUND(((AJ11)*100)/AM11,0),0)</f>
        <v/>
      </c>
      <c r="AL11" s="13">
        <f>IF(AK11&gt;=91,"अ-1",IF(AK11&gt;=81,"अ-2",IF(AK11&gt;=71,"ब-1",IF(AK11&gt;=61,"ब-2",IF(AK11&gt;=51,"क-1",IF(AK11&gt;=41,"क-2",IF(AK11&gt;=33,"ड",IF(AK11&gt;=21,"इ-1",IF(AK11&gt;=1,"इ-2","-")))))))))</f>
        <v/>
      </c>
      <c r="AM11" s="36">
        <f>AM10</f>
        <v/>
      </c>
    </row>
    <row r="12">
      <c r="A12" s="9">
        <f>'[1]विद्यार्थी माहिती'!A12</f>
        <v/>
      </c>
      <c r="B12" s="10" t="n"/>
      <c r="C12" s="11" t="n">
        <v>2</v>
      </c>
      <c r="D12" s="11" t="n"/>
      <c r="E12" s="11" t="n"/>
      <c r="F12" s="11" t="n"/>
      <c r="G12" s="11" t="n"/>
      <c r="H12" s="11" t="n"/>
      <c r="I12" s="11" t="n"/>
      <c r="J12" s="12">
        <f>SUM(C12:I12)</f>
        <v/>
      </c>
      <c r="K12" s="11" t="n"/>
      <c r="L12" s="11" t="n"/>
      <c r="M12" s="11" t="n"/>
      <c r="N12" s="12">
        <f>SUM(K12:M12)</f>
        <v/>
      </c>
      <c r="O12" s="12">
        <f>SUM(J12,N12)</f>
        <v/>
      </c>
      <c r="P12" s="12">
        <f>IFERROR(ROUND(((O12)*100)/R12,0),0)</f>
        <v/>
      </c>
      <c r="Q12" s="13">
        <f>IF(P12&gt;=91,"अ-1",IF(P12&gt;=81,"अ-2",IF(P12&gt;=71,"ब-1",IF(P12&gt;=61,"ब-2",IF(P12&gt;=51,"क-1",IF(P12&gt;=41,"क-2",IF(P12&gt;=33,"ड",IF(P12&gt;=21,"इ-1",IF(P12&gt;=1,"इ-2","-")))))))))</f>
        <v/>
      </c>
      <c r="R12" s="36">
        <f>R11</f>
        <v/>
      </c>
      <c r="S12" s="14" t="n"/>
      <c r="T12" s="2" t="n"/>
      <c r="U12" s="14" t="n"/>
      <c r="V12" s="9" t="n">
        <v>3</v>
      </c>
      <c r="W12" s="10" t="n"/>
      <c r="X12" s="11" t="n"/>
      <c r="Y12" s="11" t="n"/>
      <c r="Z12" s="11" t="n"/>
      <c r="AA12" s="11" t="n"/>
      <c r="AB12" s="11" t="n"/>
      <c r="AC12" s="11" t="n"/>
      <c r="AD12" s="11" t="n"/>
      <c r="AE12" s="12">
        <f>SUM(X12:AD12)</f>
        <v/>
      </c>
      <c r="AF12" s="11" t="n"/>
      <c r="AG12" s="11" t="n"/>
      <c r="AH12" s="11" t="n"/>
      <c r="AI12" s="12">
        <f>SUM(AF12:AH12)</f>
        <v/>
      </c>
      <c r="AJ12" s="12">
        <f>SUM(AE12,AI12)</f>
        <v/>
      </c>
      <c r="AK12" s="12">
        <f>IFERROR(ROUND(((AJ12)*100)/AM12,0),0)</f>
        <v/>
      </c>
      <c r="AL12" s="13">
        <f>IF(AK12&gt;=91,"अ-1",IF(AK12&gt;=81,"अ-2",IF(AK12&gt;=71,"ब-1",IF(AK12&gt;=61,"ब-2",IF(AK12&gt;=51,"क-1",IF(AK12&gt;=41,"क-2",IF(AK12&gt;=33,"ड",IF(AK12&gt;=21,"इ-1",IF(AK12&gt;=1,"इ-2","-")))))))))</f>
        <v/>
      </c>
      <c r="AM12" s="36">
        <f>AM11</f>
        <v/>
      </c>
    </row>
    <row r="13">
      <c r="A13" s="9">
        <f>'[1]विद्यार्थी माहिती'!A13</f>
        <v/>
      </c>
      <c r="B13" s="10" t="n"/>
      <c r="C13" s="11" t="n">
        <v>6</v>
      </c>
      <c r="D13" s="11" t="n"/>
      <c r="E13" s="11" t="n"/>
      <c r="F13" s="11" t="n"/>
      <c r="G13" s="11" t="n"/>
      <c r="H13" s="11" t="n"/>
      <c r="I13" s="11" t="n"/>
      <c r="J13" s="12">
        <f>SUM(C13:I13)</f>
        <v/>
      </c>
      <c r="K13" s="11" t="n"/>
      <c r="L13" s="11" t="n"/>
      <c r="M13" s="11" t="n"/>
      <c r="N13" s="12">
        <f>SUM(K13:M13)</f>
        <v/>
      </c>
      <c r="O13" s="12">
        <f>SUM(J13,N13)</f>
        <v/>
      </c>
      <c r="P13" s="12">
        <f>IFERROR(ROUND(((O13)*100)/R13,0),0)</f>
        <v/>
      </c>
      <c r="Q13" s="13">
        <f>IF(P13&gt;=91,"अ-1",IF(P13&gt;=81,"अ-2",IF(P13&gt;=71,"ब-1",IF(P13&gt;=61,"ब-2",IF(P13&gt;=51,"क-1",IF(P13&gt;=41,"क-2",IF(P13&gt;=33,"ड",IF(P13&gt;=21,"इ-1",IF(P13&gt;=1,"इ-2","-")))))))))</f>
        <v/>
      </c>
      <c r="R13" s="36">
        <f>R12</f>
        <v/>
      </c>
      <c r="S13" s="14" t="n"/>
      <c r="T13" s="2" t="n"/>
      <c r="U13" s="14" t="n"/>
      <c r="V13" s="9" t="n">
        <v>4</v>
      </c>
      <c r="W13" s="10" t="n"/>
      <c r="X13" s="11" t="n"/>
      <c r="Y13" s="11" t="n"/>
      <c r="Z13" s="11" t="n"/>
      <c r="AA13" s="11" t="n"/>
      <c r="AB13" s="11" t="n"/>
      <c r="AC13" s="11" t="n"/>
      <c r="AD13" s="11" t="n"/>
      <c r="AE13" s="12">
        <f>SUM(X13:AD13)</f>
        <v/>
      </c>
      <c r="AF13" s="11" t="n"/>
      <c r="AG13" s="11" t="n"/>
      <c r="AH13" s="11" t="n"/>
      <c r="AI13" s="12">
        <f>SUM(AF13:AH13)</f>
        <v/>
      </c>
      <c r="AJ13" s="12">
        <f>SUM(AE13,AI13)</f>
        <v/>
      </c>
      <c r="AK13" s="12">
        <f>IFERROR(ROUND(((AJ13)*100)/AM13,0),0)</f>
        <v/>
      </c>
      <c r="AL13" s="13">
        <f>IF(AK13&gt;=91,"अ-1",IF(AK13&gt;=81,"अ-2",IF(AK13&gt;=71,"ब-1",IF(AK13&gt;=61,"ब-2",IF(AK13&gt;=51,"क-1",IF(AK13&gt;=41,"क-2",IF(AK13&gt;=33,"ड",IF(AK13&gt;=21,"इ-1",IF(AK13&gt;=1,"इ-2","-")))))))))</f>
        <v/>
      </c>
      <c r="AM13" s="36">
        <f>AM12</f>
        <v/>
      </c>
    </row>
    <row r="14">
      <c r="A14" s="9">
        <f>'[1]विद्यार्थी माहिती'!A14</f>
        <v/>
      </c>
      <c r="B14" s="10" t="n"/>
      <c r="C14" s="11" t="n">
        <v>8</v>
      </c>
      <c r="D14" s="11" t="n"/>
      <c r="E14" s="11" t="n"/>
      <c r="F14" s="11" t="n"/>
      <c r="G14" s="11" t="n"/>
      <c r="H14" s="11" t="n"/>
      <c r="I14" s="11" t="n"/>
      <c r="J14" s="12">
        <f>SUM(C14:I14)</f>
        <v/>
      </c>
      <c r="K14" s="11" t="n"/>
      <c r="L14" s="11" t="n"/>
      <c r="M14" s="11" t="n"/>
      <c r="N14" s="12">
        <f>SUM(K14:M14)</f>
        <v/>
      </c>
      <c r="O14" s="12">
        <f>SUM(J14,N14)</f>
        <v/>
      </c>
      <c r="P14" s="12">
        <f>IFERROR(ROUND(((O14)*100)/R14,0),0)</f>
        <v/>
      </c>
      <c r="Q14" s="13">
        <f>IF(P14&gt;=91,"अ-1",IF(P14&gt;=81,"अ-2",IF(P14&gt;=71,"ब-1",IF(P14&gt;=61,"ब-2",IF(P14&gt;=51,"क-1",IF(P14&gt;=41,"क-2",IF(P14&gt;=33,"ड",IF(P14&gt;=21,"इ-1",IF(P14&gt;=1,"इ-2","-")))))))))</f>
        <v/>
      </c>
      <c r="R14" s="36">
        <f>R13</f>
        <v/>
      </c>
      <c r="S14" s="14" t="n"/>
      <c r="T14" s="2" t="n"/>
      <c r="U14" s="14" t="n"/>
      <c r="V14" s="9" t="n">
        <v>5</v>
      </c>
      <c r="W14" s="10" t="n"/>
      <c r="X14" s="11" t="n"/>
      <c r="Y14" s="11" t="n"/>
      <c r="Z14" s="11" t="n"/>
      <c r="AA14" s="11" t="n"/>
      <c r="AB14" s="11" t="n"/>
      <c r="AC14" s="11" t="n"/>
      <c r="AD14" s="11" t="n"/>
      <c r="AE14" s="12">
        <f>SUM(X14:AD14)</f>
        <v/>
      </c>
      <c r="AF14" s="11" t="n"/>
      <c r="AG14" s="11" t="n"/>
      <c r="AH14" s="11" t="n"/>
      <c r="AI14" s="12">
        <f>SUM(AF14:AH14)</f>
        <v/>
      </c>
      <c r="AJ14" s="12">
        <f>SUM(AE14,AI14)</f>
        <v/>
      </c>
      <c r="AK14" s="12">
        <f>IFERROR(ROUND(((AJ14)*100)/AM14,0),0)</f>
        <v/>
      </c>
      <c r="AL14" s="13">
        <f>IF(AK14&gt;=91,"अ-1",IF(AK14&gt;=81,"अ-2",IF(AK14&gt;=71,"ब-1",IF(AK14&gt;=61,"ब-2",IF(AK14&gt;=51,"क-1",IF(AK14&gt;=41,"क-2",IF(AK14&gt;=33,"ड",IF(AK14&gt;=21,"इ-1",IF(AK14&gt;=1,"इ-2","-")))))))))</f>
        <v/>
      </c>
      <c r="AM14" s="36">
        <f>AM13</f>
        <v/>
      </c>
    </row>
    <row r="15">
      <c r="A15" s="9">
        <f>'[1]विद्यार्थी माहिती'!A15</f>
        <v/>
      </c>
      <c r="B15" s="10" t="n"/>
      <c r="C15" s="11" t="n">
        <v>40</v>
      </c>
      <c r="D15" s="11" t="n"/>
      <c r="E15" s="11" t="n"/>
      <c r="F15" s="11" t="n"/>
      <c r="G15" s="11" t="n"/>
      <c r="H15" s="11" t="n"/>
      <c r="I15" s="11" t="n"/>
      <c r="J15" s="12">
        <f>SUM(C15:I15)</f>
        <v/>
      </c>
      <c r="K15" s="11" t="n"/>
      <c r="L15" s="11" t="n"/>
      <c r="M15" s="11" t="n"/>
      <c r="N15" s="12">
        <f>SUM(K15:M15)</f>
        <v/>
      </c>
      <c r="O15" s="12">
        <f>SUM(J15,N15)</f>
        <v/>
      </c>
      <c r="P15" s="12">
        <f>IFERROR(ROUND(((O15)*100)/R15,0),0)</f>
        <v/>
      </c>
      <c r="Q15" s="13">
        <f>IF(P15&gt;=91,"अ-1",IF(P15&gt;=81,"अ-2",IF(P15&gt;=71,"ब-1",IF(P15&gt;=61,"ब-2",IF(P15&gt;=51,"क-1",IF(P15&gt;=41,"क-2",IF(P15&gt;=33,"ड",IF(P15&gt;=21,"इ-1",IF(P15&gt;=1,"इ-2","-")))))))))</f>
        <v/>
      </c>
      <c r="R15" s="36">
        <f>R14</f>
        <v/>
      </c>
      <c r="S15" s="14" t="n"/>
      <c r="T15" s="2" t="n"/>
      <c r="U15" s="14" t="n"/>
      <c r="V15" s="9" t="n">
        <v>6</v>
      </c>
      <c r="W15" s="10" t="n"/>
      <c r="X15" s="11" t="n"/>
      <c r="Y15" s="11" t="n"/>
      <c r="Z15" s="11" t="n"/>
      <c r="AA15" s="11" t="n"/>
      <c r="AB15" s="11" t="n"/>
      <c r="AC15" s="11" t="n"/>
      <c r="AD15" s="11" t="n"/>
      <c r="AE15" s="12">
        <f>SUM(X15:AD15)</f>
        <v/>
      </c>
      <c r="AF15" s="11" t="n"/>
      <c r="AG15" s="11" t="n"/>
      <c r="AH15" s="11" t="n"/>
      <c r="AI15" s="12">
        <f>SUM(AF15:AH15)</f>
        <v/>
      </c>
      <c r="AJ15" s="12">
        <f>SUM(AE15,AI15)</f>
        <v/>
      </c>
      <c r="AK15" s="12">
        <f>IFERROR(ROUND(((AJ15)*100)/AM15,0),0)</f>
        <v/>
      </c>
      <c r="AL15" s="13">
        <f>IF(AK15&gt;=91,"अ-1",IF(AK15&gt;=81,"अ-2",IF(AK15&gt;=71,"ब-1",IF(AK15&gt;=61,"ब-2",IF(AK15&gt;=51,"क-1",IF(AK15&gt;=41,"क-2",IF(AK15&gt;=33,"ड",IF(AK15&gt;=21,"इ-1",IF(AK15&gt;=1,"इ-2","-")))))))))</f>
        <v/>
      </c>
      <c r="AM15" s="36">
        <f>AM14</f>
        <v/>
      </c>
    </row>
    <row r="16">
      <c r="A16" s="9">
        <f>'[1]विद्यार्थी माहिती'!A16</f>
        <v/>
      </c>
      <c r="B16" s="10" t="n"/>
      <c r="C16" s="11" t="n">
        <v>30</v>
      </c>
      <c r="D16" s="11" t="n"/>
      <c r="E16" s="11" t="n"/>
      <c r="F16" s="11" t="n"/>
      <c r="G16" s="11" t="n"/>
      <c r="H16" s="11" t="n"/>
      <c r="I16" s="11" t="n"/>
      <c r="J16" s="12">
        <f>SUM(C16:I16)</f>
        <v/>
      </c>
      <c r="K16" s="11" t="n"/>
      <c r="L16" s="11" t="n"/>
      <c r="M16" s="11" t="n"/>
      <c r="N16" s="12">
        <f>SUM(K16:M16)</f>
        <v/>
      </c>
      <c r="O16" s="12">
        <f>SUM(J16,N16)</f>
        <v/>
      </c>
      <c r="P16" s="12">
        <f>IFERROR(ROUND(((O16)*100)/R16,0),0)</f>
        <v/>
      </c>
      <c r="Q16" s="13">
        <f>IF(P16&gt;=91,"अ-1",IF(P16&gt;=81,"अ-2",IF(P16&gt;=71,"ब-1",IF(P16&gt;=61,"ब-2",IF(P16&gt;=51,"क-1",IF(P16&gt;=41,"क-2",IF(P16&gt;=33,"ड",IF(P16&gt;=21,"इ-1",IF(P16&gt;=1,"इ-2","-")))))))))</f>
        <v/>
      </c>
      <c r="R16" s="36">
        <f>R15</f>
        <v/>
      </c>
      <c r="S16" s="14" t="n"/>
      <c r="T16" s="2" t="n"/>
      <c r="U16" s="14" t="n"/>
      <c r="V16" s="9" t="n">
        <v>7</v>
      </c>
      <c r="W16" s="10" t="n"/>
      <c r="X16" s="11" t="n"/>
      <c r="Y16" s="11" t="n"/>
      <c r="Z16" s="11" t="n"/>
      <c r="AA16" s="11" t="n"/>
      <c r="AB16" s="11" t="n"/>
      <c r="AC16" s="11" t="n"/>
      <c r="AD16" s="11" t="n"/>
      <c r="AE16" s="12">
        <f>SUM(X16:AD16)</f>
        <v/>
      </c>
      <c r="AF16" s="11" t="n"/>
      <c r="AG16" s="11" t="n"/>
      <c r="AH16" s="11" t="n"/>
      <c r="AI16" s="12">
        <f>SUM(AF16:AH16)</f>
        <v/>
      </c>
      <c r="AJ16" s="12">
        <f>SUM(AE16,AI16)</f>
        <v/>
      </c>
      <c r="AK16" s="12">
        <f>IFERROR(ROUND(((AJ16)*100)/AM16,0),0)</f>
        <v/>
      </c>
      <c r="AL16" s="13">
        <f>IF(AK16&gt;=91,"अ-1",IF(AK16&gt;=81,"अ-2",IF(AK16&gt;=71,"ब-1",IF(AK16&gt;=61,"ब-2",IF(AK16&gt;=51,"क-1",IF(AK16&gt;=41,"क-2",IF(AK16&gt;=33,"ड",IF(AK16&gt;=21,"इ-1",IF(AK16&gt;=1,"इ-2","-")))))))))</f>
        <v/>
      </c>
      <c r="AM16" s="36">
        <f>AM15</f>
        <v/>
      </c>
    </row>
    <row r="17">
      <c r="A17" s="9">
        <f>'[1]विद्यार्थी माहिती'!A17</f>
        <v/>
      </c>
      <c r="B17" s="10" t="n"/>
      <c r="C17" s="11" t="n">
        <v>60</v>
      </c>
      <c r="D17" s="11" t="n"/>
      <c r="E17" s="11" t="n"/>
      <c r="F17" s="11" t="n"/>
      <c r="G17" s="11" t="n"/>
      <c r="H17" s="11" t="n"/>
      <c r="I17" s="11" t="n"/>
      <c r="J17" s="12">
        <f>SUM(C17:I17)</f>
        <v/>
      </c>
      <c r="K17" s="11" t="n"/>
      <c r="L17" s="11" t="n"/>
      <c r="M17" s="11" t="n"/>
      <c r="N17" s="12">
        <f>SUM(K17:M17)</f>
        <v/>
      </c>
      <c r="O17" s="12">
        <f>SUM(J17,N17)</f>
        <v/>
      </c>
      <c r="P17" s="12">
        <f>IFERROR(ROUND(((O17)*100)/R17,0),0)</f>
        <v/>
      </c>
      <c r="Q17" s="13">
        <f>IF(P17&gt;=91,"अ-1",IF(P17&gt;=81,"अ-2",IF(P17&gt;=71,"ब-1",IF(P17&gt;=61,"ब-2",IF(P17&gt;=51,"क-1",IF(P17&gt;=41,"क-2",IF(P17&gt;=33,"ड",IF(P17&gt;=21,"इ-1",IF(P17&gt;=1,"इ-2","-")))))))))</f>
        <v/>
      </c>
      <c r="R17" s="36">
        <f>R16</f>
        <v/>
      </c>
      <c r="S17" s="14" t="n"/>
      <c r="T17" s="2" t="n"/>
      <c r="U17" s="14" t="n"/>
      <c r="V17" s="9" t="n">
        <v>8</v>
      </c>
      <c r="W17" s="10" t="n"/>
      <c r="X17" s="11" t="n"/>
      <c r="Y17" s="11" t="n"/>
      <c r="Z17" s="11" t="n"/>
      <c r="AA17" s="11" t="n"/>
      <c r="AB17" s="11" t="n"/>
      <c r="AC17" s="11" t="n"/>
      <c r="AD17" s="11" t="n"/>
      <c r="AE17" s="12">
        <f>SUM(X17:AD17)</f>
        <v/>
      </c>
      <c r="AF17" s="11" t="n"/>
      <c r="AG17" s="11" t="n"/>
      <c r="AH17" s="11" t="n"/>
      <c r="AI17" s="12">
        <f>SUM(AF17:AH17)</f>
        <v/>
      </c>
      <c r="AJ17" s="12">
        <f>SUM(AE17,AI17)</f>
        <v/>
      </c>
      <c r="AK17" s="12">
        <f>IFERROR(ROUND(((AJ17)*100)/AM17,0),0)</f>
        <v/>
      </c>
      <c r="AL17" s="13">
        <f>IF(AK17&gt;=91,"अ-1",IF(AK17&gt;=81,"अ-2",IF(AK17&gt;=71,"ब-1",IF(AK17&gt;=61,"ब-2",IF(AK17&gt;=51,"क-1",IF(AK17&gt;=41,"क-2",IF(AK17&gt;=33,"ड",IF(AK17&gt;=21,"इ-1",IF(AK17&gt;=1,"इ-2","-")))))))))</f>
        <v/>
      </c>
      <c r="AM17" s="36">
        <f>AM16</f>
        <v/>
      </c>
    </row>
    <row r="18">
      <c r="A18" s="9">
        <f>'[1]विद्यार्थी माहिती'!A18</f>
        <v/>
      </c>
      <c r="B18" s="10" t="n"/>
      <c r="C18" s="11" t="n">
        <v>10</v>
      </c>
      <c r="D18" s="11" t="n"/>
      <c r="E18" s="11" t="n"/>
      <c r="F18" s="11" t="n"/>
      <c r="G18" s="11" t="n"/>
      <c r="H18" s="11" t="n"/>
      <c r="I18" s="11" t="n"/>
      <c r="J18" s="12">
        <f>SUM(C18:I18)</f>
        <v/>
      </c>
      <c r="K18" s="11" t="n"/>
      <c r="L18" s="11" t="n"/>
      <c r="M18" s="11" t="n"/>
      <c r="N18" s="12">
        <f>SUM(K18:M18)</f>
        <v/>
      </c>
      <c r="O18" s="12">
        <f>SUM(J18,N18)</f>
        <v/>
      </c>
      <c r="P18" s="12">
        <f>IFERROR(ROUND(((O18)*100)/R18,0),0)</f>
        <v/>
      </c>
      <c r="Q18" s="13">
        <f>IF(P18&gt;=91,"अ-1",IF(P18&gt;=81,"अ-2",IF(P18&gt;=71,"ब-1",IF(P18&gt;=61,"ब-2",IF(P18&gt;=51,"क-1",IF(P18&gt;=41,"क-2",IF(P18&gt;=33,"ड",IF(P18&gt;=21,"इ-1",IF(P18&gt;=1,"इ-2","-")))))))))</f>
        <v/>
      </c>
      <c r="R18" s="36">
        <f>R17</f>
        <v/>
      </c>
      <c r="S18" s="14" t="n"/>
      <c r="T18" s="2" t="n"/>
      <c r="U18" s="14" t="n"/>
      <c r="V18" s="9" t="n">
        <v>9</v>
      </c>
      <c r="W18" s="10" t="n"/>
      <c r="X18" s="11" t="n"/>
      <c r="Y18" s="11" t="n"/>
      <c r="Z18" s="11" t="n"/>
      <c r="AA18" s="11" t="n"/>
      <c r="AB18" s="11" t="n"/>
      <c r="AC18" s="11" t="n"/>
      <c r="AD18" s="11" t="n"/>
      <c r="AE18" s="12">
        <f>SUM(X18:AD18)</f>
        <v/>
      </c>
      <c r="AF18" s="11" t="n"/>
      <c r="AG18" s="11" t="n"/>
      <c r="AH18" s="11" t="n"/>
      <c r="AI18" s="12">
        <f>SUM(AF18:AH18)</f>
        <v/>
      </c>
      <c r="AJ18" s="12">
        <f>SUM(AE18,AI18)</f>
        <v/>
      </c>
      <c r="AK18" s="12">
        <f>IFERROR(ROUND(((AJ18)*100)/AM18,0),0)</f>
        <v/>
      </c>
      <c r="AL18" s="13">
        <f>IF(AK18&gt;=91,"अ-1",IF(AK18&gt;=81,"अ-2",IF(AK18&gt;=71,"ब-1",IF(AK18&gt;=61,"ब-2",IF(AK18&gt;=51,"क-1",IF(AK18&gt;=41,"क-2",IF(AK18&gt;=33,"ड",IF(AK18&gt;=21,"इ-1",IF(AK18&gt;=1,"इ-2","-")))))))))</f>
        <v/>
      </c>
      <c r="AM18" s="36">
        <f>AM17</f>
        <v/>
      </c>
    </row>
    <row r="19">
      <c r="A19" s="9">
        <f>'[1]विद्यार्थी माहिती'!A19</f>
        <v/>
      </c>
      <c r="B19" s="10" t="n"/>
      <c r="C19" s="11" t="n"/>
      <c r="D19" s="11" t="n"/>
      <c r="E19" s="11" t="n"/>
      <c r="F19" s="11" t="n"/>
      <c r="G19" s="11" t="n"/>
      <c r="H19" s="11" t="n"/>
      <c r="I19" s="11" t="n"/>
      <c r="J19" s="12">
        <f>SUM(C19:I19)</f>
        <v/>
      </c>
      <c r="K19" s="11" t="n"/>
      <c r="L19" s="11" t="n"/>
      <c r="M19" s="11" t="n"/>
      <c r="N19" s="12">
        <f>SUM(K19:M19)</f>
        <v/>
      </c>
      <c r="O19" s="12">
        <f>SUM(J19,N19)</f>
        <v/>
      </c>
      <c r="P19" s="12">
        <f>IFERROR(ROUND(((O19)*100)/R19,0),0)</f>
        <v/>
      </c>
      <c r="Q19" s="13">
        <f>IF(P19&gt;=91,"अ-1",IF(P19&gt;=81,"अ-2",IF(P19&gt;=71,"ब-1",IF(P19&gt;=61,"ब-2",IF(P19&gt;=51,"क-1",IF(P19&gt;=41,"क-2",IF(P19&gt;=33,"ड",IF(P19&gt;=21,"इ-1",IF(P19&gt;=1,"इ-2","-")))))))))</f>
        <v/>
      </c>
      <c r="R19" s="36">
        <f>R18</f>
        <v/>
      </c>
      <c r="S19" s="14" t="n"/>
      <c r="T19" s="2" t="n"/>
      <c r="U19" s="14" t="n"/>
      <c r="V19" s="9" t="n">
        <v>10</v>
      </c>
      <c r="W19" s="10" t="n"/>
      <c r="X19" s="11" t="n"/>
      <c r="Y19" s="11" t="n"/>
      <c r="Z19" s="11" t="n"/>
      <c r="AA19" s="11" t="n"/>
      <c r="AB19" s="11" t="n"/>
      <c r="AC19" s="11" t="n"/>
      <c r="AD19" s="11" t="n"/>
      <c r="AE19" s="12">
        <f>SUM(X19:AD19)</f>
        <v/>
      </c>
      <c r="AF19" s="11" t="n"/>
      <c r="AG19" s="11" t="n"/>
      <c r="AH19" s="11" t="n"/>
      <c r="AI19" s="12">
        <f>SUM(AF19:AH19)</f>
        <v/>
      </c>
      <c r="AJ19" s="12">
        <f>SUM(AE19,AI19)</f>
        <v/>
      </c>
      <c r="AK19" s="12">
        <f>IFERROR(ROUND(((AJ19)*100)/AM19,0),0)</f>
        <v/>
      </c>
      <c r="AL19" s="13">
        <f>IF(AK19&gt;=91,"अ-1",IF(AK19&gt;=81,"अ-2",IF(AK19&gt;=71,"ब-1",IF(AK19&gt;=61,"ब-2",IF(AK19&gt;=51,"क-1",IF(AK19&gt;=41,"क-2",IF(AK19&gt;=33,"ड",IF(AK19&gt;=21,"इ-1",IF(AK19&gt;=1,"इ-2","-")))))))))</f>
        <v/>
      </c>
      <c r="AM19" s="36">
        <f>AM18</f>
        <v/>
      </c>
    </row>
    <row r="20">
      <c r="A20" s="9">
        <f>'[1]विद्यार्थी माहिती'!A20</f>
        <v/>
      </c>
      <c r="B20" s="10" t="n"/>
      <c r="C20" s="11" t="n"/>
      <c r="D20" s="11" t="n"/>
      <c r="E20" s="11" t="n"/>
      <c r="F20" s="11" t="n"/>
      <c r="G20" s="11" t="n"/>
      <c r="H20" s="11" t="n"/>
      <c r="I20" s="11" t="n"/>
      <c r="J20" s="12">
        <f>SUM(C20:I20)</f>
        <v/>
      </c>
      <c r="K20" s="11" t="n"/>
      <c r="L20" s="11" t="n"/>
      <c r="M20" s="11" t="n"/>
      <c r="N20" s="12">
        <f>SUM(K20:M20)</f>
        <v/>
      </c>
      <c r="O20" s="12">
        <f>SUM(J20,N20)</f>
        <v/>
      </c>
      <c r="P20" s="12">
        <f>IFERROR(ROUND(((O20)*100)/R20,0),0)</f>
        <v/>
      </c>
      <c r="Q20" s="13">
        <f>IF(P20&gt;=91,"अ-1",IF(P20&gt;=81,"अ-2",IF(P20&gt;=71,"ब-1",IF(P20&gt;=61,"ब-2",IF(P20&gt;=51,"क-1",IF(P20&gt;=41,"क-2",IF(P20&gt;=33,"ड",IF(P20&gt;=21,"इ-1",IF(P20&gt;=1,"इ-2","-")))))))))</f>
        <v/>
      </c>
      <c r="R20" s="36">
        <f>R19</f>
        <v/>
      </c>
      <c r="S20" s="14" t="n"/>
      <c r="T20" s="14" t="n"/>
      <c r="U20" s="14" t="n"/>
      <c r="V20" s="9" t="n">
        <v>11</v>
      </c>
      <c r="W20" s="10" t="n"/>
      <c r="X20" s="11" t="n"/>
      <c r="Y20" s="11" t="n"/>
      <c r="Z20" s="11" t="n"/>
      <c r="AA20" s="11" t="n"/>
      <c r="AB20" s="11" t="n"/>
      <c r="AC20" s="11" t="n"/>
      <c r="AD20" s="11" t="n"/>
      <c r="AE20" s="12">
        <f>SUM(X20:AD20)</f>
        <v/>
      </c>
      <c r="AF20" s="11" t="n"/>
      <c r="AG20" s="11" t="n"/>
      <c r="AH20" s="11" t="n"/>
      <c r="AI20" s="12">
        <f>SUM(AF20:AH20)</f>
        <v/>
      </c>
      <c r="AJ20" s="12">
        <f>SUM(AE20,AI20)</f>
        <v/>
      </c>
      <c r="AK20" s="12">
        <f>IFERROR(ROUND(((AJ20)*100)/AM20,0),0)</f>
        <v/>
      </c>
      <c r="AL20" s="13">
        <f>IF(AK20&gt;=91,"अ-1",IF(AK20&gt;=81,"अ-2",IF(AK20&gt;=71,"ब-1",IF(AK20&gt;=61,"ब-2",IF(AK20&gt;=51,"क-1",IF(AK20&gt;=41,"क-2",IF(AK20&gt;=33,"ड",IF(AK20&gt;=21,"इ-1",IF(AK20&gt;=1,"इ-2","-")))))))))</f>
        <v/>
      </c>
      <c r="AM20" s="36">
        <f>AM19</f>
        <v/>
      </c>
    </row>
    <row r="21">
      <c r="A21" s="9">
        <f>'[1]विद्यार्थी माहिती'!A21</f>
        <v/>
      </c>
      <c r="B21" s="10" t="n"/>
      <c r="C21" s="11" t="n"/>
      <c r="D21" s="11" t="n"/>
      <c r="E21" s="11" t="n"/>
      <c r="F21" s="11" t="n"/>
      <c r="G21" s="11" t="n"/>
      <c r="H21" s="11" t="n"/>
      <c r="I21" s="11" t="n"/>
      <c r="J21" s="12">
        <f>SUM(C21:I21)</f>
        <v/>
      </c>
      <c r="K21" s="11" t="n"/>
      <c r="L21" s="11" t="n"/>
      <c r="M21" s="11" t="n"/>
      <c r="N21" s="12">
        <f>SUM(K21:M21)</f>
        <v/>
      </c>
      <c r="O21" s="12">
        <f>SUM(J21,N21)</f>
        <v/>
      </c>
      <c r="P21" s="12">
        <f>IFERROR(ROUND(((O21)*100)/R21,0),0)</f>
        <v/>
      </c>
      <c r="Q21" s="13">
        <f>IF(P21&gt;=91,"अ-1",IF(P21&gt;=81,"अ-2",IF(P21&gt;=71,"ब-1",IF(P21&gt;=61,"ब-2",IF(P21&gt;=51,"क-1",IF(P21&gt;=41,"क-2",IF(P21&gt;=33,"ड",IF(P21&gt;=21,"इ-1",IF(P21&gt;=1,"इ-2","-")))))))))</f>
        <v/>
      </c>
      <c r="R21" s="36">
        <f>R20</f>
        <v/>
      </c>
      <c r="S21" s="14" t="n"/>
      <c r="T21" s="14" t="n"/>
      <c r="U21" s="14" t="n"/>
      <c r="V21" s="9" t="n">
        <v>12</v>
      </c>
      <c r="W21" s="10" t="n"/>
      <c r="X21" s="11" t="n"/>
      <c r="Y21" s="11" t="n"/>
      <c r="Z21" s="11" t="n"/>
      <c r="AA21" s="11" t="n"/>
      <c r="AB21" s="11" t="n"/>
      <c r="AC21" s="11" t="n"/>
      <c r="AD21" s="11" t="n"/>
      <c r="AE21" s="12">
        <f>SUM(X21:AD21)</f>
        <v/>
      </c>
      <c r="AF21" s="11" t="n"/>
      <c r="AG21" s="11" t="n"/>
      <c r="AH21" s="11" t="n"/>
      <c r="AI21" s="12">
        <f>SUM(AF21:AH21)</f>
        <v/>
      </c>
      <c r="AJ21" s="12">
        <f>SUM(AE21,AI21)</f>
        <v/>
      </c>
      <c r="AK21" s="12">
        <f>IFERROR(ROUND(((AJ21)*100)/AM21,0),0)</f>
        <v/>
      </c>
      <c r="AL21" s="13">
        <f>IF(AK21&gt;=91,"अ-1",IF(AK21&gt;=81,"अ-2",IF(AK21&gt;=71,"ब-1",IF(AK21&gt;=61,"ब-2",IF(AK21&gt;=51,"क-1",IF(AK21&gt;=41,"क-2",IF(AK21&gt;=33,"ड",IF(AK21&gt;=21,"इ-1",IF(AK21&gt;=1,"इ-2","-")))))))))</f>
        <v/>
      </c>
      <c r="AM21" s="36">
        <f>AM20</f>
        <v/>
      </c>
    </row>
    <row r="22">
      <c r="A22" s="9">
        <f>'[1]विद्यार्थी माहिती'!A22</f>
        <v/>
      </c>
      <c r="B22" s="10" t="n"/>
      <c r="C22" s="11" t="n"/>
      <c r="D22" s="11" t="n"/>
      <c r="E22" s="11" t="n"/>
      <c r="F22" s="11" t="n"/>
      <c r="G22" s="11" t="n"/>
      <c r="H22" s="11" t="n"/>
      <c r="I22" s="11" t="n"/>
      <c r="J22" s="12">
        <f>SUM(C22:I22)</f>
        <v/>
      </c>
      <c r="K22" s="11" t="n"/>
      <c r="L22" s="11" t="n"/>
      <c r="M22" s="11" t="n"/>
      <c r="N22" s="12">
        <f>SUM(K22:M22)</f>
        <v/>
      </c>
      <c r="O22" s="12">
        <f>SUM(J22,N22)</f>
        <v/>
      </c>
      <c r="P22" s="12">
        <f>IFERROR(ROUND(((O22)*100)/R22,0),0)</f>
        <v/>
      </c>
      <c r="Q22" s="13">
        <f>IF(P22&gt;=91,"अ-1",IF(P22&gt;=81,"अ-2",IF(P22&gt;=71,"ब-1",IF(P22&gt;=61,"ब-2",IF(P22&gt;=51,"क-1",IF(P22&gt;=41,"क-2",IF(P22&gt;=33,"ड",IF(P22&gt;=21,"इ-1",IF(P22&gt;=1,"इ-2","-")))))))))</f>
        <v/>
      </c>
      <c r="R22" s="36">
        <f>R21</f>
        <v/>
      </c>
      <c r="S22" s="14" t="n"/>
      <c r="T22" s="14" t="n"/>
      <c r="U22" s="14" t="n"/>
      <c r="V22" s="9" t="n">
        <v>13</v>
      </c>
      <c r="W22" s="10" t="n"/>
      <c r="X22" s="11" t="n"/>
      <c r="Y22" s="11" t="n"/>
      <c r="Z22" s="11" t="n"/>
      <c r="AA22" s="11" t="n"/>
      <c r="AB22" s="11" t="n"/>
      <c r="AC22" s="11" t="n"/>
      <c r="AD22" s="11" t="n"/>
      <c r="AE22" s="12">
        <f>SUM(X22:AD22)</f>
        <v/>
      </c>
      <c r="AF22" s="11" t="n"/>
      <c r="AG22" s="11" t="n"/>
      <c r="AH22" s="11" t="n"/>
      <c r="AI22" s="12">
        <f>SUM(AF22:AH22)</f>
        <v/>
      </c>
      <c r="AJ22" s="12">
        <f>SUM(AE22,AI22)</f>
        <v/>
      </c>
      <c r="AK22" s="12">
        <f>IFERROR(ROUND(((AJ22)*100)/AM22,0),0)</f>
        <v/>
      </c>
      <c r="AL22" s="13">
        <f>IF(AK22&gt;=91,"अ-1",IF(AK22&gt;=81,"अ-2",IF(AK22&gt;=71,"ब-1",IF(AK22&gt;=61,"ब-2",IF(AK22&gt;=51,"क-1",IF(AK22&gt;=41,"क-2",IF(AK22&gt;=33,"ड",IF(AK22&gt;=21,"इ-1",IF(AK22&gt;=1,"इ-2","-")))))))))</f>
        <v/>
      </c>
      <c r="AM22" s="36">
        <f>AM21</f>
        <v/>
      </c>
    </row>
    <row r="23">
      <c r="A23" s="9">
        <f>'[1]विद्यार्थी माहिती'!A23</f>
        <v/>
      </c>
      <c r="B23" s="10" t="n"/>
      <c r="C23" s="11" t="n"/>
      <c r="D23" s="11" t="n"/>
      <c r="E23" s="11" t="n"/>
      <c r="F23" s="11" t="n"/>
      <c r="G23" s="11" t="n"/>
      <c r="H23" s="11" t="n"/>
      <c r="I23" s="11" t="n"/>
      <c r="J23" s="12">
        <f>SUM(C23:I23)</f>
        <v/>
      </c>
      <c r="K23" s="11" t="n"/>
      <c r="L23" s="11" t="n"/>
      <c r="M23" s="11" t="n"/>
      <c r="N23" s="12">
        <f>SUM(K23:M23)</f>
        <v/>
      </c>
      <c r="O23" s="12">
        <f>SUM(J23,N23)</f>
        <v/>
      </c>
      <c r="P23" s="12">
        <f>IFERROR(ROUND(((O23)*100)/R23,0),0)</f>
        <v/>
      </c>
      <c r="Q23" s="13">
        <f>IF(P23&gt;=91,"अ-1",IF(P23&gt;=81,"अ-2",IF(P23&gt;=71,"ब-1",IF(P23&gt;=61,"ब-2",IF(P23&gt;=51,"क-1",IF(P23&gt;=41,"क-2",IF(P23&gt;=33,"ड",IF(P23&gt;=21,"इ-1",IF(P23&gt;=1,"इ-2","-")))))))))</f>
        <v/>
      </c>
      <c r="R23" s="36">
        <f>R22</f>
        <v/>
      </c>
      <c r="S23" s="14" t="n"/>
      <c r="T23" s="14" t="n"/>
      <c r="U23" s="14" t="n"/>
      <c r="V23" s="9" t="n">
        <v>14</v>
      </c>
      <c r="W23" s="10" t="n"/>
      <c r="X23" s="11" t="n"/>
      <c r="Y23" s="11" t="n"/>
      <c r="Z23" s="11" t="n"/>
      <c r="AA23" s="11" t="n"/>
      <c r="AB23" s="11" t="n"/>
      <c r="AC23" s="11" t="n"/>
      <c r="AD23" s="11" t="n"/>
      <c r="AE23" s="12">
        <f>SUM(X23:AD23)</f>
        <v/>
      </c>
      <c r="AF23" s="11" t="n"/>
      <c r="AG23" s="11" t="n"/>
      <c r="AH23" s="11" t="n"/>
      <c r="AI23" s="12">
        <f>SUM(AF23:AH23)</f>
        <v/>
      </c>
      <c r="AJ23" s="12">
        <f>SUM(AE23,AI23)</f>
        <v/>
      </c>
      <c r="AK23" s="12">
        <f>IFERROR(ROUND(((AJ23)*100)/AM23,0),0)</f>
        <v/>
      </c>
      <c r="AL23" s="13">
        <f>IF(AK23&gt;=91,"अ-1",IF(AK23&gt;=81,"अ-2",IF(AK23&gt;=71,"ब-1",IF(AK23&gt;=61,"ब-2",IF(AK23&gt;=51,"क-1",IF(AK23&gt;=41,"क-2",IF(AK23&gt;=33,"ड",IF(AK23&gt;=21,"इ-1",IF(AK23&gt;=1,"इ-2","-")))))))))</f>
        <v/>
      </c>
      <c r="AM23" s="36">
        <f>AM22</f>
        <v/>
      </c>
    </row>
    <row r="24">
      <c r="A24" s="9">
        <f>'[1]विद्यार्थी माहिती'!A24</f>
        <v/>
      </c>
      <c r="B24" s="10" t="n"/>
      <c r="C24" s="11" t="n"/>
      <c r="D24" s="11" t="n"/>
      <c r="E24" s="11" t="n"/>
      <c r="F24" s="11" t="n"/>
      <c r="G24" s="11" t="n"/>
      <c r="H24" s="11" t="n"/>
      <c r="I24" s="11" t="n"/>
      <c r="J24" s="12">
        <f>SUM(C24:I24)</f>
        <v/>
      </c>
      <c r="K24" s="11" t="n"/>
      <c r="L24" s="11" t="n"/>
      <c r="M24" s="11" t="n"/>
      <c r="N24" s="12">
        <f>SUM(K24:M24)</f>
        <v/>
      </c>
      <c r="O24" s="12">
        <f>SUM(J24,N24)</f>
        <v/>
      </c>
      <c r="P24" s="12">
        <f>IFERROR(ROUND(((O24)*100)/R24,0),0)</f>
        <v/>
      </c>
      <c r="Q24" s="13">
        <f>IF(P24&gt;=91,"अ-1",IF(P24&gt;=81,"अ-2",IF(P24&gt;=71,"ब-1",IF(P24&gt;=61,"ब-2",IF(P24&gt;=51,"क-1",IF(P24&gt;=41,"क-2",IF(P24&gt;=33,"ड",IF(P24&gt;=21,"इ-1",IF(P24&gt;=1,"इ-2","-")))))))))</f>
        <v/>
      </c>
      <c r="R24" s="36">
        <f>R23</f>
        <v/>
      </c>
      <c r="S24" s="14" t="n"/>
      <c r="T24" s="14" t="n"/>
      <c r="U24" s="14" t="n"/>
      <c r="V24" s="9" t="n">
        <v>15</v>
      </c>
      <c r="W24" s="10" t="n"/>
      <c r="X24" s="11" t="n"/>
      <c r="Y24" s="11" t="n"/>
      <c r="Z24" s="11" t="n"/>
      <c r="AA24" s="11" t="n"/>
      <c r="AB24" s="11" t="n"/>
      <c r="AC24" s="11" t="n"/>
      <c r="AD24" s="11" t="n"/>
      <c r="AE24" s="12">
        <f>SUM(X24:AD24)</f>
        <v/>
      </c>
      <c r="AF24" s="11" t="n"/>
      <c r="AG24" s="11" t="n"/>
      <c r="AH24" s="11" t="n"/>
      <c r="AI24" s="12">
        <f>SUM(AF24:AH24)</f>
        <v/>
      </c>
      <c r="AJ24" s="12">
        <f>SUM(AE24,AI24)</f>
        <v/>
      </c>
      <c r="AK24" s="12">
        <f>IFERROR(ROUND(((AJ24)*100)/AM24,0),0)</f>
        <v/>
      </c>
      <c r="AL24" s="13">
        <f>IF(AK24&gt;=91,"अ-1",IF(AK24&gt;=81,"अ-2",IF(AK24&gt;=71,"ब-1",IF(AK24&gt;=61,"ब-2",IF(AK24&gt;=51,"क-1",IF(AK24&gt;=41,"क-2",IF(AK24&gt;=33,"ड",IF(AK24&gt;=21,"इ-1",IF(AK24&gt;=1,"इ-2","-")))))))))</f>
        <v/>
      </c>
      <c r="AM24" s="36">
        <f>AM23</f>
        <v/>
      </c>
    </row>
    <row r="25">
      <c r="A25" s="9">
        <f>'[1]विद्यार्थी माहिती'!A25</f>
        <v/>
      </c>
      <c r="B25" s="10" t="n"/>
      <c r="C25" s="11" t="n"/>
      <c r="D25" s="11" t="n"/>
      <c r="E25" s="11" t="n"/>
      <c r="F25" s="11" t="n"/>
      <c r="G25" s="11" t="n"/>
      <c r="H25" s="11" t="n"/>
      <c r="I25" s="11" t="n"/>
      <c r="J25" s="12">
        <f>SUM(C25:I25)</f>
        <v/>
      </c>
      <c r="K25" s="11" t="n"/>
      <c r="L25" s="11" t="n"/>
      <c r="M25" s="11" t="n"/>
      <c r="N25" s="12">
        <f>SUM(K25:M25)</f>
        <v/>
      </c>
      <c r="O25" s="12">
        <f>SUM(J25,N25)</f>
        <v/>
      </c>
      <c r="P25" s="12">
        <f>IFERROR(ROUND(((O25)*100)/R25,0),0)</f>
        <v/>
      </c>
      <c r="Q25" s="13">
        <f>IF(P25&gt;=91,"अ-1",IF(P25&gt;=81,"अ-2",IF(P25&gt;=71,"ब-1",IF(P25&gt;=61,"ब-2",IF(P25&gt;=51,"क-1",IF(P25&gt;=41,"क-2",IF(P25&gt;=33,"ड",IF(P25&gt;=21,"इ-1",IF(P25&gt;=1,"इ-2","-")))))))))</f>
        <v/>
      </c>
      <c r="R25" s="36">
        <f>R24</f>
        <v/>
      </c>
      <c r="S25" s="14" t="n"/>
      <c r="T25" s="14" t="n"/>
      <c r="U25" s="14" t="n"/>
      <c r="V25" s="9" t="n">
        <v>16</v>
      </c>
      <c r="W25" s="10" t="n"/>
      <c r="X25" s="11" t="n"/>
      <c r="Y25" s="11" t="n"/>
      <c r="Z25" s="11" t="n"/>
      <c r="AA25" s="11" t="n"/>
      <c r="AB25" s="11" t="n"/>
      <c r="AC25" s="11" t="n"/>
      <c r="AD25" s="11" t="n"/>
      <c r="AE25" s="12">
        <f>SUM(X25:AD25)</f>
        <v/>
      </c>
      <c r="AF25" s="11" t="n"/>
      <c r="AG25" s="11" t="n"/>
      <c r="AH25" s="11" t="n"/>
      <c r="AI25" s="12">
        <f>SUM(AF25:AH25)</f>
        <v/>
      </c>
      <c r="AJ25" s="12">
        <f>SUM(AE25,AI25)</f>
        <v/>
      </c>
      <c r="AK25" s="12">
        <f>IFERROR(ROUND(((AJ25)*100)/AM25,0),0)</f>
        <v/>
      </c>
      <c r="AL25" s="13">
        <f>IF(AK25&gt;=91,"अ-1",IF(AK25&gt;=81,"अ-2",IF(AK25&gt;=71,"ब-1",IF(AK25&gt;=61,"ब-2",IF(AK25&gt;=51,"क-1",IF(AK25&gt;=41,"क-2",IF(AK25&gt;=33,"ड",IF(AK25&gt;=21,"इ-1",IF(AK25&gt;=1,"इ-2","-")))))))))</f>
        <v/>
      </c>
      <c r="AM25" s="36">
        <f>AM24</f>
        <v/>
      </c>
    </row>
    <row r="26">
      <c r="A26" s="9">
        <f>'[1]विद्यार्थी माहिती'!A26</f>
        <v/>
      </c>
      <c r="B26" s="10" t="n"/>
      <c r="C26" s="11" t="n"/>
      <c r="D26" s="11" t="n"/>
      <c r="E26" s="11" t="n"/>
      <c r="F26" s="11" t="n"/>
      <c r="G26" s="11" t="n"/>
      <c r="H26" s="11" t="n"/>
      <c r="I26" s="11" t="n"/>
      <c r="J26" s="12">
        <f>SUM(C26:I26)</f>
        <v/>
      </c>
      <c r="K26" s="11" t="n"/>
      <c r="L26" s="11" t="n"/>
      <c r="M26" s="11" t="n"/>
      <c r="N26" s="12">
        <f>SUM(K26:M26)</f>
        <v/>
      </c>
      <c r="O26" s="12">
        <f>SUM(J26,N26)</f>
        <v/>
      </c>
      <c r="P26" s="12">
        <f>IFERROR(ROUND(((O26)*100)/R26,0),0)</f>
        <v/>
      </c>
      <c r="Q26" s="13">
        <f>IF(P26&gt;=91,"अ-1",IF(P26&gt;=81,"अ-2",IF(P26&gt;=71,"ब-1",IF(P26&gt;=61,"ब-2",IF(P26&gt;=51,"क-1",IF(P26&gt;=41,"क-2",IF(P26&gt;=33,"ड",IF(P26&gt;=21,"इ-1",IF(P26&gt;=1,"इ-2","-")))))))))</f>
        <v/>
      </c>
      <c r="R26" s="36">
        <f>R25</f>
        <v/>
      </c>
      <c r="S26" s="14" t="n"/>
      <c r="T26" s="14" t="n"/>
      <c r="U26" s="14" t="n"/>
      <c r="V26" s="9" t="n">
        <v>17</v>
      </c>
      <c r="W26" s="10" t="n"/>
      <c r="X26" s="11" t="n"/>
      <c r="Y26" s="11" t="n"/>
      <c r="Z26" s="11" t="n"/>
      <c r="AA26" s="11" t="n"/>
      <c r="AB26" s="11" t="n"/>
      <c r="AC26" s="11" t="n"/>
      <c r="AD26" s="11" t="n"/>
      <c r="AE26" s="12">
        <f>SUM(X26:AD26)</f>
        <v/>
      </c>
      <c r="AF26" s="11" t="n"/>
      <c r="AG26" s="11" t="n"/>
      <c r="AH26" s="11" t="n"/>
      <c r="AI26" s="12">
        <f>SUM(AF26:AH26)</f>
        <v/>
      </c>
      <c r="AJ26" s="12">
        <f>SUM(AE26,AI26)</f>
        <v/>
      </c>
      <c r="AK26" s="12">
        <f>IFERROR(ROUND(((AJ26)*100)/AM26,0),0)</f>
        <v/>
      </c>
      <c r="AL26" s="13">
        <f>IF(AK26&gt;=91,"अ-1",IF(AK26&gt;=81,"अ-2",IF(AK26&gt;=71,"ब-1",IF(AK26&gt;=61,"ब-2",IF(AK26&gt;=51,"क-1",IF(AK26&gt;=41,"क-2",IF(AK26&gt;=33,"ड",IF(AK26&gt;=21,"इ-1",IF(AK26&gt;=1,"इ-2","-")))))))))</f>
        <v/>
      </c>
      <c r="AM26" s="36">
        <f>AM25</f>
        <v/>
      </c>
    </row>
    <row r="27">
      <c r="A27" s="9">
        <f>'[1]विद्यार्थी माहिती'!A27</f>
        <v/>
      </c>
      <c r="B27" s="10" t="n"/>
      <c r="C27" s="11" t="n"/>
      <c r="D27" s="11" t="n"/>
      <c r="E27" s="11" t="n"/>
      <c r="F27" s="11" t="n"/>
      <c r="G27" s="11" t="n"/>
      <c r="H27" s="11" t="n"/>
      <c r="I27" s="11" t="n"/>
      <c r="J27" s="12">
        <f>SUM(C27:I27)</f>
        <v/>
      </c>
      <c r="K27" s="11" t="n"/>
      <c r="L27" s="11" t="n"/>
      <c r="M27" s="11" t="n"/>
      <c r="N27" s="12">
        <f>SUM(K27:M27)</f>
        <v/>
      </c>
      <c r="O27" s="12">
        <f>SUM(J27,N27)</f>
        <v/>
      </c>
      <c r="P27" s="12">
        <f>IFERROR(ROUND(((O27)*100)/R27,0),0)</f>
        <v/>
      </c>
      <c r="Q27" s="13">
        <f>IF(P27&gt;=91,"अ-1",IF(P27&gt;=81,"अ-2",IF(P27&gt;=71,"ब-1",IF(P27&gt;=61,"ब-2",IF(P27&gt;=51,"क-1",IF(P27&gt;=41,"क-2",IF(P27&gt;=33,"ड",IF(P27&gt;=21,"इ-1",IF(P27&gt;=1,"इ-2","-")))))))))</f>
        <v/>
      </c>
      <c r="R27" s="36">
        <f>R26</f>
        <v/>
      </c>
      <c r="S27" s="14" t="n"/>
      <c r="T27" s="14" t="n"/>
      <c r="U27" s="14" t="n"/>
      <c r="V27" s="9" t="n">
        <v>18</v>
      </c>
      <c r="W27" s="10" t="n"/>
      <c r="X27" s="11" t="n"/>
      <c r="Y27" s="11" t="n"/>
      <c r="Z27" s="11" t="n"/>
      <c r="AA27" s="11" t="n"/>
      <c r="AB27" s="11" t="n"/>
      <c r="AC27" s="11" t="n"/>
      <c r="AD27" s="11" t="n"/>
      <c r="AE27" s="12">
        <f>SUM(X27:AD27)</f>
        <v/>
      </c>
      <c r="AF27" s="11" t="n"/>
      <c r="AG27" s="11" t="n"/>
      <c r="AH27" s="11" t="n"/>
      <c r="AI27" s="12">
        <f>SUM(AF27:AH27)</f>
        <v/>
      </c>
      <c r="AJ27" s="12">
        <f>SUM(AE27,AI27)</f>
        <v/>
      </c>
      <c r="AK27" s="12">
        <f>IFERROR(ROUND(((AJ27)*100)/AM27,0),0)</f>
        <v/>
      </c>
      <c r="AL27" s="13">
        <f>IF(AK27&gt;=91,"अ-1",IF(AK27&gt;=81,"अ-2",IF(AK27&gt;=71,"ब-1",IF(AK27&gt;=61,"ब-2",IF(AK27&gt;=51,"क-1",IF(AK27&gt;=41,"क-2",IF(AK27&gt;=33,"ड",IF(AK27&gt;=21,"इ-1",IF(AK27&gt;=1,"इ-2","-")))))))))</f>
        <v/>
      </c>
      <c r="AM27" s="36">
        <f>AM26</f>
        <v/>
      </c>
    </row>
    <row r="28">
      <c r="A28" s="9">
        <f>'[1]विद्यार्थी माहिती'!A28</f>
        <v/>
      </c>
      <c r="B28" s="10" t="n"/>
      <c r="C28" s="11" t="n"/>
      <c r="D28" s="11" t="n"/>
      <c r="E28" s="11" t="n"/>
      <c r="F28" s="11" t="n"/>
      <c r="G28" s="11" t="n"/>
      <c r="H28" s="11" t="n"/>
      <c r="I28" s="11" t="n"/>
      <c r="J28" s="12">
        <f>SUM(C28:I28)</f>
        <v/>
      </c>
      <c r="K28" s="11" t="n"/>
      <c r="L28" s="11" t="n"/>
      <c r="M28" s="11" t="n"/>
      <c r="N28" s="12">
        <f>SUM(K28:M28)</f>
        <v/>
      </c>
      <c r="O28" s="12">
        <f>SUM(J28,N28)</f>
        <v/>
      </c>
      <c r="P28" s="12">
        <f>IFERROR(ROUND(((O28)*100)/R28,0),0)</f>
        <v/>
      </c>
      <c r="Q28" s="13">
        <f>IF(P28&gt;=91,"अ-1",IF(P28&gt;=81,"अ-2",IF(P28&gt;=71,"ब-1",IF(P28&gt;=61,"ब-2",IF(P28&gt;=51,"क-1",IF(P28&gt;=41,"क-2",IF(P28&gt;=33,"ड",IF(P28&gt;=21,"इ-1",IF(P28&gt;=1,"इ-2","-")))))))))</f>
        <v/>
      </c>
      <c r="R28" s="36">
        <f>R27</f>
        <v/>
      </c>
      <c r="S28" s="14" t="n"/>
      <c r="T28" s="14" t="n"/>
      <c r="U28" s="14" t="n"/>
      <c r="V28" s="9" t="n">
        <v>19</v>
      </c>
      <c r="W28" s="10" t="n"/>
      <c r="X28" s="11" t="n"/>
      <c r="Y28" s="11" t="n"/>
      <c r="Z28" s="11" t="n"/>
      <c r="AA28" s="11" t="n"/>
      <c r="AB28" s="11" t="n"/>
      <c r="AC28" s="11" t="n"/>
      <c r="AD28" s="11" t="n"/>
      <c r="AE28" s="12">
        <f>SUM(X28:AD28)</f>
        <v/>
      </c>
      <c r="AF28" s="11" t="n"/>
      <c r="AG28" s="11" t="n"/>
      <c r="AH28" s="11" t="n"/>
      <c r="AI28" s="12">
        <f>SUM(AF28:AH28)</f>
        <v/>
      </c>
      <c r="AJ28" s="12">
        <f>SUM(AE28,AI28)</f>
        <v/>
      </c>
      <c r="AK28" s="12">
        <f>IFERROR(ROUND(((AJ28)*100)/AM28,0),0)</f>
        <v/>
      </c>
      <c r="AL28" s="13">
        <f>IF(AK28&gt;=91,"अ-1",IF(AK28&gt;=81,"अ-2",IF(AK28&gt;=71,"ब-1",IF(AK28&gt;=61,"ब-2",IF(AK28&gt;=51,"क-1",IF(AK28&gt;=41,"क-2",IF(AK28&gt;=33,"ड",IF(AK28&gt;=21,"इ-1",IF(AK28&gt;=1,"इ-2","-")))))))))</f>
        <v/>
      </c>
      <c r="AM28" s="36">
        <f>AM27</f>
        <v/>
      </c>
    </row>
    <row r="29">
      <c r="A29" s="9">
        <f>'[1]विद्यार्थी माहिती'!A29</f>
        <v/>
      </c>
      <c r="B29" s="10" t="n"/>
      <c r="C29" s="11" t="n"/>
      <c r="D29" s="11" t="n"/>
      <c r="E29" s="11" t="n"/>
      <c r="F29" s="11" t="n"/>
      <c r="G29" s="11" t="n"/>
      <c r="H29" s="11" t="n"/>
      <c r="I29" s="11" t="n"/>
      <c r="J29" s="12">
        <f>SUM(C29:I29)</f>
        <v/>
      </c>
      <c r="K29" s="11" t="n"/>
      <c r="L29" s="11" t="n"/>
      <c r="M29" s="11" t="n"/>
      <c r="N29" s="12">
        <f>SUM(K29:M29)</f>
        <v/>
      </c>
      <c r="O29" s="12">
        <f>SUM(J29,N29)</f>
        <v/>
      </c>
      <c r="P29" s="12">
        <f>IFERROR(ROUND(((O29)*100)/R29,0),0)</f>
        <v/>
      </c>
      <c r="Q29" s="13">
        <f>IF(P29&gt;=91,"अ-1",IF(P29&gt;=81,"अ-2",IF(P29&gt;=71,"ब-1",IF(P29&gt;=61,"ब-2",IF(P29&gt;=51,"क-1",IF(P29&gt;=41,"क-2",IF(P29&gt;=33,"ड",IF(P29&gt;=21,"इ-1",IF(P29&gt;=1,"इ-2","-")))))))))</f>
        <v/>
      </c>
      <c r="R29" s="36">
        <f>R28</f>
        <v/>
      </c>
      <c r="S29" s="14" t="n"/>
      <c r="T29" s="14" t="n"/>
      <c r="U29" s="14" t="n"/>
      <c r="V29" s="9" t="n">
        <v>20</v>
      </c>
      <c r="W29" s="10" t="n"/>
      <c r="X29" s="11" t="n"/>
      <c r="Y29" s="11" t="n"/>
      <c r="Z29" s="11" t="n"/>
      <c r="AA29" s="11" t="n"/>
      <c r="AB29" s="11" t="n"/>
      <c r="AC29" s="11" t="n"/>
      <c r="AD29" s="11" t="n"/>
      <c r="AE29" s="12">
        <f>SUM(X29:AD29)</f>
        <v/>
      </c>
      <c r="AF29" s="11" t="n"/>
      <c r="AG29" s="11" t="n"/>
      <c r="AH29" s="11" t="n"/>
      <c r="AI29" s="12">
        <f>SUM(AF29:AH29)</f>
        <v/>
      </c>
      <c r="AJ29" s="12">
        <f>SUM(AE29,AI29)</f>
        <v/>
      </c>
      <c r="AK29" s="12">
        <f>IFERROR(ROUND(((AJ29)*100)/AM29,0),0)</f>
        <v/>
      </c>
      <c r="AL29" s="13">
        <f>IF(AK29&gt;=91,"अ-1",IF(AK29&gt;=81,"अ-2",IF(AK29&gt;=71,"ब-1",IF(AK29&gt;=61,"ब-2",IF(AK29&gt;=51,"क-1",IF(AK29&gt;=41,"क-2",IF(AK29&gt;=33,"ड",IF(AK29&gt;=21,"इ-1",IF(AK29&gt;=1,"इ-2","-")))))))))</f>
        <v/>
      </c>
      <c r="AM29" s="36">
        <f>AM28</f>
        <v/>
      </c>
    </row>
    <row r="30">
      <c r="A30" s="40" t="n"/>
      <c r="B30" s="41" t="n"/>
      <c r="C30" s="41" t="n"/>
      <c r="D30" s="41" t="n"/>
      <c r="E30" s="41" t="n"/>
      <c r="F30" s="41" t="n"/>
      <c r="G30" s="41" t="n"/>
      <c r="H30" s="41" t="n"/>
      <c r="I30" s="41" t="n"/>
      <c r="J30" s="41" t="n"/>
      <c r="K30" s="41" t="n"/>
      <c r="L30" s="41" t="n"/>
      <c r="M30" s="41" t="n"/>
      <c r="N30" s="41" t="n"/>
      <c r="O30" s="41" t="n"/>
      <c r="P30" s="41" t="n"/>
      <c r="Q30" s="41" t="n"/>
      <c r="R30" s="36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36" t="n"/>
      <c r="S31" s="2" t="n"/>
      <c r="T31" s="2" t="n"/>
      <c r="U31" s="2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</row>
    <row r="32">
      <c r="A32" s="43" t="n"/>
      <c r="C32" s="36" t="n"/>
      <c r="D32" s="36" t="n"/>
      <c r="E32" s="36" t="n"/>
      <c r="F32" s="36" t="n"/>
      <c r="G32" s="36" t="n"/>
      <c r="H32" s="36" t="n"/>
      <c r="I32" s="36" t="n"/>
      <c r="J32" s="43" t="inlineStr">
        <is>
          <t xml:space="preserve">श्री. नागरगोजे उद्धव प्रल्हाद </t>
        </is>
      </c>
      <c r="R32" s="36" t="n"/>
      <c r="S32" s="2" t="n"/>
      <c r="T32" s="2" t="n"/>
      <c r="U32" s="2" t="n"/>
      <c r="V32" s="43" t="n"/>
      <c r="X32" s="36" t="n"/>
      <c r="Y32" s="36" t="n"/>
      <c r="Z32" s="36" t="n"/>
      <c r="AA32" s="36" t="n"/>
      <c r="AB32" s="36" t="n"/>
      <c r="AC32" s="36" t="n"/>
      <c r="AD32" s="36" t="n"/>
      <c r="AE32" s="43" t="inlineStr">
        <is>
          <t xml:space="preserve">श्री. नागरगोजे उद्धव प्रल्हाद </t>
        </is>
      </c>
    </row>
    <row r="33">
      <c r="A33" s="17" t="inlineStr">
        <is>
          <t>वर्ग शिक्षक</t>
        </is>
      </c>
      <c r="C33" s="36" t="n"/>
      <c r="D33" s="36" t="n"/>
      <c r="E33" s="36" t="n"/>
      <c r="F33" s="36" t="n"/>
      <c r="G33" s="36" t="n"/>
      <c r="H33" s="36" t="n"/>
      <c r="I33" s="36" t="n"/>
      <c r="J33" s="17" t="inlineStr">
        <is>
          <t>मुख्याध्यापक</t>
        </is>
      </c>
      <c r="R33" s="36" t="n"/>
      <c r="S33" s="2" t="n"/>
      <c r="T33" s="2" t="n"/>
      <c r="U33" s="2" t="n"/>
      <c r="V33" s="17" t="inlineStr">
        <is>
          <t>वर्ग शिक्षक</t>
        </is>
      </c>
      <c r="X33" s="36" t="n"/>
      <c r="Y33" s="36" t="n"/>
      <c r="Z33" s="36" t="n"/>
      <c r="AA33" s="36" t="n"/>
      <c r="AB33" s="36" t="n"/>
      <c r="AC33" s="36" t="n"/>
      <c r="AD33" s="36" t="n"/>
      <c r="AE33" s="17" t="inlineStr">
        <is>
          <t>मुख्याध्यापक</t>
        </is>
      </c>
    </row>
  </sheetData>
  <mergeCells count="59">
    <mergeCell ref="C3:J3"/>
    <mergeCell ref="A5:A9"/>
    <mergeCell ref="A30:Q30"/>
    <mergeCell ref="AH6:AH8"/>
    <mergeCell ref="V33:W33"/>
    <mergeCell ref="AE32:AL32"/>
    <mergeCell ref="V2:AL2"/>
    <mergeCell ref="AC6:AC8"/>
    <mergeCell ref="C5:J5"/>
    <mergeCell ref="AE6:AE8"/>
    <mergeCell ref="N6:N8"/>
    <mergeCell ref="O5:O8"/>
    <mergeCell ref="Q5:Q8"/>
    <mergeCell ref="A1:Q1"/>
    <mergeCell ref="W5:W8"/>
    <mergeCell ref="I6:I8"/>
    <mergeCell ref="AB6:AB8"/>
    <mergeCell ref="K6:K8"/>
    <mergeCell ref="L6:L8"/>
    <mergeCell ref="AB4:AL4"/>
    <mergeCell ref="AK5:AK8"/>
    <mergeCell ref="K3:Q3"/>
    <mergeCell ref="V1:AL1"/>
    <mergeCell ref="AF3:AL3"/>
    <mergeCell ref="Z6:Z8"/>
    <mergeCell ref="AE33:AL33"/>
    <mergeCell ref="A4:F4"/>
    <mergeCell ref="C6:C8"/>
    <mergeCell ref="D6:D8"/>
    <mergeCell ref="X3:AE3"/>
    <mergeCell ref="K5:N5"/>
    <mergeCell ref="F6:F8"/>
    <mergeCell ref="V5:V9"/>
    <mergeCell ref="AI6:AI8"/>
    <mergeCell ref="A33:B33"/>
    <mergeCell ref="A32:B32"/>
    <mergeCell ref="A2:Q2"/>
    <mergeCell ref="X5:AE5"/>
    <mergeCell ref="J32:Q32"/>
    <mergeCell ref="V32:W32"/>
    <mergeCell ref="AA6:AA8"/>
    <mergeCell ref="J6:J8"/>
    <mergeCell ref="AG6:AG8"/>
    <mergeCell ref="AJ5:AJ8"/>
    <mergeCell ref="AL5:AL8"/>
    <mergeCell ref="E6:E8"/>
    <mergeCell ref="B5:B8"/>
    <mergeCell ref="X6:X8"/>
    <mergeCell ref="AD6:AD8"/>
    <mergeCell ref="M6:M8"/>
    <mergeCell ref="G4:Q4"/>
    <mergeCell ref="AF6:AF8"/>
    <mergeCell ref="V4:AA4"/>
    <mergeCell ref="H6:H8"/>
    <mergeCell ref="J33:Q33"/>
    <mergeCell ref="G6:G8"/>
    <mergeCell ref="P5:P8"/>
    <mergeCell ref="Y6:Y8"/>
    <mergeCell ref="AF5:A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Kishor Shirsat</dc:creator>
  <dcterms:created xsi:type="dcterms:W3CDTF">2026-10-20T15:38:06Z</dcterms:created>
  <dcterms:modified xsi:type="dcterms:W3CDTF">2026-10-23T13:35:32Z</dcterms:modified>
  <cp:lastModifiedBy>Kishor Shirsat</cp:lastModifiedBy>
</cp:coreProperties>
</file>